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165" windowWidth="18945" windowHeight="10035"/>
  </bookViews>
  <sheets>
    <sheet name="Sheet1" sheetId="1" r:id="rId1"/>
  </sheet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3" i="1" l="1"/>
  <c r="V72" i="1" l="1"/>
  <c r="V11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3" i="1"/>
  <c r="U11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3" i="1"/>
  <c r="B21" i="1" l="1"/>
  <c r="B5" i="1"/>
  <c r="B25" i="1"/>
  <c r="C25" i="1"/>
  <c r="C29" i="1"/>
  <c r="B29" i="1"/>
  <c r="I33" i="1"/>
  <c r="H33" i="1"/>
  <c r="G33" i="1"/>
  <c r="F33" i="1"/>
  <c r="E33" i="1"/>
  <c r="D33" i="1"/>
  <c r="C33" i="1"/>
  <c r="I29" i="1"/>
  <c r="H29" i="1"/>
  <c r="G29" i="1"/>
  <c r="F29" i="1"/>
  <c r="E29" i="1"/>
  <c r="D29" i="1"/>
  <c r="I25" i="1"/>
  <c r="H25" i="1"/>
  <c r="G25" i="1"/>
  <c r="F25" i="1"/>
  <c r="E25" i="1"/>
  <c r="D25" i="1"/>
  <c r="I21" i="1"/>
  <c r="H21" i="1"/>
  <c r="G21" i="1"/>
  <c r="F21" i="1"/>
  <c r="E21" i="1"/>
  <c r="D21" i="1"/>
  <c r="C21" i="1"/>
  <c r="I17" i="1"/>
  <c r="H17" i="1"/>
  <c r="G17" i="1"/>
  <c r="F17" i="1"/>
  <c r="E17" i="1"/>
  <c r="D17" i="1"/>
  <c r="C17" i="1"/>
  <c r="B17" i="1"/>
  <c r="I13" i="1"/>
  <c r="H13" i="1"/>
  <c r="G13" i="1"/>
  <c r="F13" i="1"/>
  <c r="E13" i="1"/>
  <c r="D13" i="1"/>
  <c r="C13" i="1"/>
  <c r="B13" i="1"/>
  <c r="I9" i="1"/>
  <c r="H9" i="1"/>
  <c r="G9" i="1"/>
  <c r="F9" i="1"/>
  <c r="E9" i="1"/>
  <c r="D9" i="1"/>
  <c r="C9" i="1"/>
  <c r="B9" i="1"/>
  <c r="I5" i="1"/>
  <c r="G5" i="1"/>
  <c r="H5" i="1"/>
  <c r="C5" i="1"/>
  <c r="E5" i="1"/>
  <c r="F5" i="1"/>
  <c r="D5" i="1"/>
  <c r="N122" i="1"/>
  <c r="O122" i="1"/>
  <c r="P122" i="1"/>
  <c r="N123" i="1"/>
  <c r="O123" i="1"/>
  <c r="P123" i="1"/>
  <c r="N124" i="1"/>
  <c r="O124" i="1"/>
  <c r="P124" i="1"/>
  <c r="N125" i="1"/>
  <c r="O125" i="1"/>
  <c r="P125" i="1"/>
  <c r="N126" i="1"/>
  <c r="O126" i="1"/>
  <c r="P126" i="1"/>
  <c r="N127" i="1"/>
  <c r="O127" i="1"/>
  <c r="P127" i="1"/>
  <c r="N128" i="1"/>
  <c r="O128" i="1"/>
  <c r="P128" i="1"/>
  <c r="N129" i="1"/>
  <c r="O129" i="1"/>
  <c r="P129" i="1"/>
  <c r="N130" i="1"/>
  <c r="O130" i="1"/>
  <c r="P130" i="1"/>
  <c r="N131" i="1"/>
  <c r="O131" i="1"/>
  <c r="P131" i="1"/>
  <c r="N132" i="1"/>
  <c r="O132" i="1"/>
  <c r="P132" i="1"/>
  <c r="N133" i="1"/>
  <c r="O133" i="1"/>
  <c r="P133" i="1"/>
  <c r="N38" i="1"/>
  <c r="O38" i="1"/>
  <c r="P38" i="1"/>
  <c r="N39" i="1"/>
  <c r="O39" i="1"/>
  <c r="P39" i="1"/>
  <c r="N40" i="1"/>
  <c r="O40" i="1"/>
  <c r="P40" i="1"/>
  <c r="N41" i="1"/>
  <c r="O41" i="1"/>
  <c r="P41" i="1"/>
  <c r="N42" i="1"/>
  <c r="O42" i="1"/>
  <c r="P42" i="1"/>
  <c r="N43" i="1"/>
  <c r="O43" i="1"/>
  <c r="P43" i="1"/>
  <c r="N44" i="1"/>
  <c r="O44" i="1"/>
  <c r="P44" i="1"/>
  <c r="N45" i="1"/>
  <c r="O45" i="1"/>
  <c r="P45" i="1"/>
  <c r="N46" i="1"/>
  <c r="O46" i="1"/>
  <c r="P46" i="1"/>
  <c r="N47" i="1"/>
  <c r="O47" i="1"/>
  <c r="P47" i="1"/>
  <c r="N48" i="1"/>
  <c r="O48" i="1"/>
  <c r="P48" i="1"/>
  <c r="N49" i="1"/>
  <c r="O49" i="1"/>
  <c r="P49" i="1"/>
  <c r="N50" i="1"/>
  <c r="O50" i="1"/>
  <c r="P50" i="1"/>
  <c r="N51" i="1"/>
  <c r="O51" i="1"/>
  <c r="P51" i="1"/>
  <c r="N52" i="1"/>
  <c r="O52" i="1"/>
  <c r="P52" i="1"/>
  <c r="N53" i="1"/>
  <c r="O53" i="1"/>
  <c r="P53" i="1"/>
  <c r="N54" i="1"/>
  <c r="O54" i="1"/>
  <c r="P54" i="1"/>
  <c r="N55" i="1"/>
  <c r="O55" i="1"/>
  <c r="P55" i="1"/>
  <c r="N56" i="1"/>
  <c r="O56" i="1"/>
  <c r="P56" i="1"/>
  <c r="N57" i="1"/>
  <c r="O57" i="1"/>
  <c r="P57" i="1"/>
  <c r="N58" i="1"/>
  <c r="O58" i="1"/>
  <c r="P58" i="1"/>
  <c r="N59" i="1"/>
  <c r="O59" i="1"/>
  <c r="P59" i="1"/>
  <c r="N60" i="1"/>
  <c r="O60" i="1"/>
  <c r="P60" i="1"/>
  <c r="N61" i="1"/>
  <c r="O61" i="1"/>
  <c r="P61" i="1"/>
  <c r="N62" i="1"/>
  <c r="O62" i="1"/>
  <c r="P62" i="1"/>
  <c r="N63" i="1"/>
  <c r="O63" i="1"/>
  <c r="P63" i="1"/>
  <c r="N65" i="1"/>
  <c r="O65" i="1"/>
  <c r="P65" i="1"/>
  <c r="N66" i="1"/>
  <c r="O66" i="1"/>
  <c r="P66" i="1"/>
  <c r="N67" i="1"/>
  <c r="O67" i="1"/>
  <c r="P67" i="1"/>
  <c r="N68" i="1"/>
  <c r="O68" i="1"/>
  <c r="P68" i="1"/>
  <c r="N69" i="1"/>
  <c r="O69" i="1"/>
  <c r="P69" i="1"/>
  <c r="N70" i="1"/>
  <c r="O70" i="1"/>
  <c r="P70" i="1"/>
  <c r="N71" i="1"/>
  <c r="O71" i="1"/>
  <c r="P71" i="1"/>
  <c r="N72" i="1"/>
  <c r="O72" i="1"/>
  <c r="P72" i="1"/>
  <c r="P73" i="1"/>
  <c r="N76" i="1"/>
  <c r="O76" i="1"/>
  <c r="P76" i="1"/>
  <c r="N77" i="1"/>
  <c r="O77" i="1"/>
  <c r="P77" i="1"/>
  <c r="N78" i="1"/>
  <c r="O78" i="1"/>
  <c r="P78" i="1"/>
  <c r="N79" i="1"/>
  <c r="O79" i="1"/>
  <c r="P79" i="1"/>
  <c r="N80" i="1"/>
  <c r="O80" i="1"/>
  <c r="P80" i="1"/>
  <c r="N81" i="1"/>
  <c r="O81" i="1"/>
  <c r="P81" i="1"/>
  <c r="N82" i="1"/>
  <c r="O82" i="1"/>
  <c r="P82" i="1"/>
  <c r="N83" i="1"/>
  <c r="O83" i="1"/>
  <c r="P83" i="1"/>
  <c r="N84" i="1"/>
  <c r="O84" i="1"/>
  <c r="P84" i="1"/>
  <c r="N85" i="1"/>
  <c r="O85" i="1"/>
  <c r="P85" i="1"/>
  <c r="N86" i="1"/>
  <c r="O86" i="1"/>
  <c r="P86" i="1"/>
  <c r="N87" i="1"/>
  <c r="O87" i="1"/>
  <c r="P87" i="1"/>
  <c r="N88" i="1"/>
  <c r="O88" i="1"/>
  <c r="P88" i="1"/>
  <c r="N89" i="1"/>
  <c r="O89" i="1"/>
  <c r="P89" i="1"/>
  <c r="N90" i="1"/>
  <c r="O90" i="1"/>
  <c r="P90" i="1"/>
  <c r="N91" i="1"/>
  <c r="O91" i="1"/>
  <c r="P91" i="1"/>
  <c r="N92" i="1"/>
  <c r="O92" i="1"/>
  <c r="P92" i="1"/>
  <c r="N93" i="1"/>
  <c r="O93" i="1"/>
  <c r="P93" i="1"/>
  <c r="N94" i="1"/>
  <c r="O94" i="1"/>
  <c r="P94" i="1"/>
  <c r="N95" i="1"/>
  <c r="O95" i="1"/>
  <c r="P95" i="1"/>
  <c r="N96" i="1"/>
  <c r="O96" i="1"/>
  <c r="P96" i="1"/>
  <c r="N100" i="1"/>
  <c r="O100" i="1"/>
  <c r="P100" i="1"/>
  <c r="N101" i="1"/>
  <c r="O101" i="1"/>
  <c r="P101" i="1"/>
  <c r="N102" i="1"/>
  <c r="O102" i="1"/>
  <c r="P102" i="1"/>
  <c r="N103" i="1"/>
  <c r="O103" i="1"/>
  <c r="P103" i="1"/>
  <c r="N104" i="1"/>
  <c r="O104" i="1"/>
  <c r="P104" i="1"/>
  <c r="N105" i="1"/>
  <c r="O105" i="1"/>
  <c r="P105" i="1"/>
  <c r="N106" i="1"/>
  <c r="O106" i="1"/>
  <c r="P106" i="1"/>
  <c r="N107" i="1"/>
  <c r="O107" i="1"/>
  <c r="P107" i="1"/>
  <c r="N108" i="1"/>
  <c r="O108" i="1"/>
  <c r="P108" i="1"/>
  <c r="N109" i="1"/>
  <c r="O109" i="1"/>
  <c r="P109" i="1"/>
  <c r="N110" i="1"/>
  <c r="O110" i="1"/>
  <c r="P110" i="1"/>
  <c r="N111" i="1"/>
  <c r="O111" i="1"/>
  <c r="P111" i="1"/>
  <c r="N112" i="1"/>
  <c r="O112" i="1"/>
  <c r="P112" i="1"/>
  <c r="N113" i="1"/>
  <c r="O113" i="1"/>
  <c r="P113" i="1"/>
  <c r="N114" i="1"/>
  <c r="O114" i="1"/>
  <c r="P114" i="1"/>
  <c r="N115" i="1"/>
  <c r="O115" i="1"/>
  <c r="P115" i="1"/>
  <c r="N116" i="1"/>
  <c r="O116" i="1"/>
  <c r="P116" i="1"/>
  <c r="N118" i="1"/>
  <c r="O118" i="1"/>
  <c r="P118" i="1"/>
  <c r="N119" i="1"/>
  <c r="O119" i="1"/>
  <c r="P119" i="1"/>
  <c r="N120" i="1"/>
  <c r="O120" i="1"/>
  <c r="P120" i="1"/>
  <c r="N121" i="1"/>
  <c r="O121" i="1"/>
  <c r="P121" i="1"/>
  <c r="N5" i="1"/>
  <c r="O5" i="1"/>
  <c r="P5" i="1"/>
  <c r="N6" i="1"/>
  <c r="O6" i="1"/>
  <c r="P6" i="1"/>
  <c r="N7" i="1"/>
  <c r="O7" i="1"/>
  <c r="P7" i="1"/>
  <c r="N9" i="1"/>
  <c r="O9" i="1"/>
  <c r="P9" i="1"/>
  <c r="N10" i="1"/>
  <c r="O10" i="1"/>
  <c r="P10" i="1"/>
  <c r="N13" i="1"/>
  <c r="O13" i="1"/>
  <c r="P13" i="1"/>
  <c r="N14" i="1"/>
  <c r="O14" i="1"/>
  <c r="P14" i="1"/>
  <c r="N15" i="1"/>
  <c r="O15" i="1"/>
  <c r="P15" i="1"/>
  <c r="N17" i="1"/>
  <c r="O17" i="1"/>
  <c r="P17" i="1"/>
  <c r="N18" i="1"/>
  <c r="O18" i="1"/>
  <c r="P18" i="1"/>
  <c r="N19" i="1"/>
  <c r="O19" i="1"/>
  <c r="P19" i="1"/>
  <c r="N21" i="1"/>
  <c r="O21" i="1"/>
  <c r="P21" i="1"/>
  <c r="N22" i="1"/>
  <c r="O22" i="1"/>
  <c r="P22" i="1"/>
  <c r="N23" i="1"/>
  <c r="O23" i="1"/>
  <c r="P23" i="1"/>
  <c r="N25" i="1"/>
  <c r="O25" i="1"/>
  <c r="P25" i="1"/>
  <c r="N26" i="1"/>
  <c r="O26" i="1"/>
  <c r="P26" i="1"/>
  <c r="N27" i="1"/>
  <c r="O27" i="1"/>
  <c r="P27" i="1"/>
  <c r="N29" i="1"/>
  <c r="O29" i="1"/>
  <c r="P29" i="1"/>
  <c r="N30" i="1"/>
  <c r="O30" i="1"/>
  <c r="P30" i="1"/>
  <c r="N31" i="1"/>
  <c r="O31" i="1"/>
  <c r="P31" i="1"/>
  <c r="N33" i="1"/>
  <c r="O33" i="1"/>
  <c r="P33" i="1"/>
  <c r="N34" i="1"/>
  <c r="O34" i="1"/>
  <c r="P34" i="1"/>
  <c r="N35" i="1"/>
  <c r="O35" i="1"/>
  <c r="P35" i="1"/>
  <c r="N36" i="1"/>
  <c r="O36" i="1"/>
  <c r="P36" i="1"/>
  <c r="N37" i="1"/>
  <c r="O37" i="1"/>
  <c r="P37" i="1"/>
  <c r="N3" i="1"/>
  <c r="P3" i="1"/>
  <c r="O3" i="1"/>
  <c r="V37" i="1" l="1"/>
  <c r="U37" i="1"/>
  <c r="U27" i="1"/>
  <c r="V27" i="1"/>
  <c r="U17" i="1"/>
  <c r="V17" i="1"/>
  <c r="V10" i="1"/>
  <c r="U10" i="1"/>
  <c r="V5" i="1"/>
  <c r="U5" i="1"/>
  <c r="U33" i="1"/>
  <c r="V33" i="1"/>
  <c r="V22" i="1"/>
  <c r="U22" i="1"/>
  <c r="V36" i="1"/>
  <c r="U36" i="1"/>
  <c r="U31" i="1"/>
  <c r="V31" i="1"/>
  <c r="V26" i="1"/>
  <c r="U26" i="1"/>
  <c r="V21" i="1"/>
  <c r="U21" i="1"/>
  <c r="U15" i="1"/>
  <c r="V15" i="1"/>
  <c r="V9" i="1"/>
  <c r="U9" i="1"/>
  <c r="V35" i="1"/>
  <c r="U35" i="1"/>
  <c r="V19" i="1"/>
  <c r="U19" i="1"/>
  <c r="U14" i="1"/>
  <c r="V14" i="1"/>
  <c r="V7" i="1"/>
  <c r="U7" i="1"/>
  <c r="V38" i="1"/>
  <c r="U38" i="1"/>
  <c r="U30" i="1"/>
  <c r="V30" i="1"/>
  <c r="V25" i="1"/>
  <c r="U25" i="1"/>
  <c r="U34" i="1"/>
  <c r="V34" i="1"/>
  <c r="V29" i="1"/>
  <c r="U29" i="1"/>
  <c r="V23" i="1"/>
  <c r="U23" i="1"/>
  <c r="U18" i="1"/>
  <c r="V18" i="1"/>
  <c r="V13" i="1"/>
  <c r="U13" i="1"/>
  <c r="V6" i="1"/>
  <c r="U6" i="1"/>
</calcChain>
</file>

<file path=xl/connections.xml><?xml version="1.0" encoding="utf-8"?>
<connections xmlns="http://schemas.openxmlformats.org/spreadsheetml/2006/main">
  <connection id="1" name="perlerbeads_key" type="4" refreshedVersion="0" background="1">
    <webPr xml="1" sourceData="1" parsePre="1" consecutive="1" url="C:\Users\knezu\Dropbox\BeadSpriteMachine\3. G-code Converter\perlerbeads_key.xml" htmlTables="1"/>
  </connection>
  <connection id="2" name="perlerbeads_key1" type="4" refreshedVersion="0" background="1">
    <webPr xml="1" sourceData="1" parsePre="1" consecutive="1" url="C:\Users\knezu\Dropbox\BeadSpriteMachine\3. G-code Converter\perlerbeads_key.xml" htmlTables="1"/>
  </connection>
  <connection id="3" name="perlerbeads_key2" type="4" refreshedVersion="0" background="1">
    <webPr xml="1" sourceData="1" parsePre="1" consecutive="1" url="C:\Users\knezu\Dropbox\BeadSpriteMachine\3. G-code Converter\perlerbeads_key.xml" htmlTables="1"/>
  </connection>
</connections>
</file>

<file path=xl/sharedStrings.xml><?xml version="1.0" encoding="utf-8"?>
<sst xmlns="http://schemas.openxmlformats.org/spreadsheetml/2006/main" count="473" uniqueCount="341">
  <si>
    <t>index</t>
  </si>
  <si>
    <t>P01</t>
  </si>
  <si>
    <t>White</t>
  </si>
  <si>
    <t>247, 247, 242</t>
  </si>
  <si>
    <t>F7F7F2</t>
  </si>
  <si>
    <t>PERLER</t>
  </si>
  <si>
    <t>P81</t>
  </si>
  <si>
    <t>Light Gray</t>
  </si>
  <si>
    <t>190 195, 191</t>
  </si>
  <si>
    <t>BEC3BF</t>
  </si>
  <si>
    <t>P17</t>
  </si>
  <si>
    <t>Gray</t>
  </si>
  <si>
    <t>150, 152, 156</t>
  </si>
  <si>
    <t>96989C</t>
  </si>
  <si>
    <t>P206</t>
  </si>
  <si>
    <t>Pewter</t>
  </si>
  <si>
    <t>147, 161, 159</t>
  </si>
  <si>
    <t>93A19F</t>
  </si>
  <si>
    <t>P207</t>
  </si>
  <si>
    <t>Charcoal</t>
  </si>
  <si>
    <t>84, 95, 95</t>
  </si>
  <si>
    <t>545F5F</t>
  </si>
  <si>
    <t>P92</t>
  </si>
  <si>
    <t>Dark Gray</t>
  </si>
  <si>
    <t>86, 87, 92</t>
  </si>
  <si>
    <t>56575C</t>
  </si>
  <si>
    <t>P18</t>
  </si>
  <si>
    <t>Black</t>
  </si>
  <si>
    <t>52, 50, 52</t>
  </si>
  <si>
    <t>P208</t>
  </si>
  <si>
    <t>Toasted Marshmallow</t>
  </si>
  <si>
    <t>F1E5D8</t>
  </si>
  <si>
    <t>P98</t>
  </si>
  <si>
    <t>Sand</t>
  </si>
  <si>
    <t>EAC49F</t>
  </si>
  <si>
    <t>P205</t>
  </si>
  <si>
    <t>Fawn</t>
  </si>
  <si>
    <t>D7B087</t>
  </si>
  <si>
    <t>P35</t>
  </si>
  <si>
    <t>Tan</t>
  </si>
  <si>
    <t>CFA889</t>
  </si>
  <si>
    <t>P20</t>
  </si>
  <si>
    <t>Rust</t>
  </si>
  <si>
    <t>160,78,63</t>
  </si>
  <si>
    <t>A04E3F</t>
  </si>
  <si>
    <t>P96</t>
  </si>
  <si>
    <t>Cranapple</t>
  </si>
  <si>
    <t>136,64,79</t>
  </si>
  <si>
    <t>88404F</t>
  </si>
  <si>
    <t>P21</t>
  </si>
  <si>
    <t>Light Brown</t>
  </si>
  <si>
    <t>164,123,71</t>
  </si>
  <si>
    <t>9D7153</t>
  </si>
  <si>
    <t>P12</t>
  </si>
  <si>
    <t>Brown</t>
  </si>
  <si>
    <t>108,82,77</t>
  </si>
  <si>
    <t>6C524D</t>
  </si>
  <si>
    <t>P02</t>
  </si>
  <si>
    <t>Cream</t>
  </si>
  <si>
    <t>EDE7BA</t>
  </si>
  <si>
    <t>P56</t>
  </si>
  <si>
    <t>Pastel Yellow</t>
  </si>
  <si>
    <t>FAEE8D</t>
  </si>
  <si>
    <t>P03</t>
  </si>
  <si>
    <t>Yellow</t>
  </si>
  <si>
    <t>249,215,55</t>
  </si>
  <si>
    <t>F9D737</t>
  </si>
  <si>
    <t>P57</t>
  </si>
  <si>
    <t>Cheddar</t>
  </si>
  <si>
    <t>255,182,78</t>
  </si>
  <si>
    <t>FFB64E</t>
  </si>
  <si>
    <t>P04</t>
  </si>
  <si>
    <t>Orange</t>
  </si>
  <si>
    <t>255,128,62</t>
  </si>
  <si>
    <t>FF803E</t>
  </si>
  <si>
    <t>P90</t>
  </si>
  <si>
    <t>Butterscotch</t>
  </si>
  <si>
    <t>225,154,82</t>
  </si>
  <si>
    <t>E19A52</t>
  </si>
  <si>
    <t>P59</t>
  </si>
  <si>
    <t>Hot Coral</t>
  </si>
  <si>
    <t>255,97,88</t>
  </si>
  <si>
    <t>FF6158</t>
  </si>
  <si>
    <t>P203</t>
  </si>
  <si>
    <t>Salmon</t>
  </si>
  <si>
    <t>FF777F</t>
  </si>
  <si>
    <t>P63</t>
  </si>
  <si>
    <t>Blush</t>
  </si>
  <si>
    <t>FF9E8D</t>
  </si>
  <si>
    <t>P204</t>
  </si>
  <si>
    <t>Flamingo</t>
  </si>
  <si>
    <t>FFB5BE</t>
  </si>
  <si>
    <t>P33</t>
  </si>
  <si>
    <t>Peach</t>
  </si>
  <si>
    <t>FCC6B8</t>
  </si>
  <si>
    <t>P79</t>
  </si>
  <si>
    <t>Light Pink</t>
  </si>
  <si>
    <t>F5C0D5</t>
  </si>
  <si>
    <t>P06</t>
  </si>
  <si>
    <t>Bubble Gum</t>
  </si>
  <si>
    <t>E16D9D</t>
  </si>
  <si>
    <t>P83</t>
  </si>
  <si>
    <t>Pink</t>
  </si>
  <si>
    <t>230,87,148</t>
  </si>
  <si>
    <t>E65794</t>
  </si>
  <si>
    <t>P38</t>
  </si>
  <si>
    <t>Magenta</t>
  </si>
  <si>
    <t>243,70,118</t>
  </si>
  <si>
    <t>F34676</t>
  </si>
  <si>
    <t>P05</t>
  </si>
  <si>
    <t>Red</t>
  </si>
  <si>
    <t>196,58,68</t>
  </si>
  <si>
    <t>C43A44</t>
  </si>
  <si>
    <t>P961</t>
  </si>
  <si>
    <t>Cherry</t>
  </si>
  <si>
    <t>173,51,69</t>
  </si>
  <si>
    <t>AD3345</t>
  </si>
  <si>
    <t>P88</t>
  </si>
  <si>
    <t>Raspberry</t>
  </si>
  <si>
    <t>173,60,108</t>
  </si>
  <si>
    <t>AD3C6C</t>
  </si>
  <si>
    <t>P60</t>
  </si>
  <si>
    <t>Plum</t>
  </si>
  <si>
    <t>178,95,170</t>
  </si>
  <si>
    <t>B25FAA</t>
  </si>
  <si>
    <t>P82</t>
  </si>
  <si>
    <t>Light Lavender</t>
  </si>
  <si>
    <t>B4A6D3</t>
  </si>
  <si>
    <t>P54</t>
  </si>
  <si>
    <t>Pastel Lavender</t>
  </si>
  <si>
    <t>9582BB</t>
  </si>
  <si>
    <t>P07</t>
  </si>
  <si>
    <t>Purple</t>
  </si>
  <si>
    <t>111,84,147</t>
  </si>
  <si>
    <t>6F5493</t>
  </si>
  <si>
    <t>p93</t>
  </si>
  <si>
    <t>Blueberry Crème</t>
  </si>
  <si>
    <t>87A7E1</t>
  </si>
  <si>
    <t>P70</t>
  </si>
  <si>
    <t>Periwinkle</t>
  </si>
  <si>
    <t>6C88BF</t>
  </si>
  <si>
    <t>P202</t>
  </si>
  <si>
    <t>Robin's Egg</t>
  </si>
  <si>
    <t>B4D9DF</t>
  </si>
  <si>
    <t>P52</t>
  </si>
  <si>
    <t>Pastel Blue</t>
  </si>
  <si>
    <t>63A9D6</t>
  </si>
  <si>
    <t>P09</t>
  </si>
  <si>
    <t>Light Blue</t>
  </si>
  <si>
    <t>278ACB</t>
  </si>
  <si>
    <t>P200</t>
  </si>
  <si>
    <t>Cobalt</t>
  </si>
  <si>
    <t>0, 102, 179</t>
  </si>
  <si>
    <t>0066B3</t>
  </si>
  <si>
    <t>P08</t>
  </si>
  <si>
    <t>Dark Blue</t>
  </si>
  <si>
    <t>43,48,124</t>
  </si>
  <si>
    <t>2B307C</t>
  </si>
  <si>
    <t>P201</t>
  </si>
  <si>
    <t>Midnight</t>
  </si>
  <si>
    <t>22,40,70</t>
  </si>
  <si>
    <t>P58</t>
  </si>
  <si>
    <t>Toothpaste</t>
  </si>
  <si>
    <t>B0E8D5</t>
  </si>
  <si>
    <t>P62</t>
  </si>
  <si>
    <t>Turquoise</t>
  </si>
  <si>
    <t>0, 143, 204</t>
  </si>
  <si>
    <t>008FCC</t>
  </si>
  <si>
    <t>P11</t>
  </si>
  <si>
    <t>Light Green</t>
  </si>
  <si>
    <t>38C7AF</t>
  </si>
  <si>
    <t>P91</t>
  </si>
  <si>
    <t>Parrot Green</t>
  </si>
  <si>
    <t>0, 150, 138</t>
  </si>
  <si>
    <t>00968A</t>
  </si>
  <si>
    <t>P53</t>
  </si>
  <si>
    <t>Pastel Green</t>
  </si>
  <si>
    <t>73D594</t>
  </si>
  <si>
    <t>P61</t>
  </si>
  <si>
    <t>Kiwi Lime</t>
  </si>
  <si>
    <t>119,202,74</t>
  </si>
  <si>
    <t>77CA4A</t>
  </si>
  <si>
    <t>P80</t>
  </si>
  <si>
    <t>Bright Green</t>
  </si>
  <si>
    <t>84,177,96</t>
  </si>
  <si>
    <t>54B160</t>
  </si>
  <si>
    <t>P99</t>
  </si>
  <si>
    <t>Shamrock</t>
  </si>
  <si>
    <t>0, 150, 84</t>
  </si>
  <si>
    <t>P10</t>
  </si>
  <si>
    <t>Dark Green</t>
  </si>
  <si>
    <t>16,131,85</t>
  </si>
  <si>
    <t>P97</t>
  </si>
  <si>
    <t>Prickly Pear</t>
  </si>
  <si>
    <t>203,215,53</t>
  </si>
  <si>
    <t>CBD735</t>
  </si>
  <si>
    <t>P179</t>
  </si>
  <si>
    <t>Evergreen</t>
  </si>
  <si>
    <t>60,97,79</t>
  </si>
  <si>
    <t>3C614F</t>
  </si>
  <si>
    <t>P49</t>
  </si>
  <si>
    <t>Neon Green</t>
  </si>
  <si>
    <t>0,172,74</t>
  </si>
  <si>
    <t>00AC4A</t>
  </si>
  <si>
    <t>P47</t>
  </si>
  <si>
    <t>Neon Yellow</t>
  </si>
  <si>
    <t>189,210,0</t>
  </si>
  <si>
    <t>BDD200</t>
  </si>
  <si>
    <t>P50</t>
  </si>
  <si>
    <t>Neon Pink</t>
  </si>
  <si>
    <t>241,82,137</t>
  </si>
  <si>
    <t>F15289</t>
  </si>
  <si>
    <t>P48</t>
  </si>
  <si>
    <t>Neon Orange</t>
  </si>
  <si>
    <t>255,141,46</t>
  </si>
  <si>
    <t>FF8D2E</t>
  </si>
  <si>
    <t>P??</t>
  </si>
  <si>
    <t>Neon Blue</t>
  </si>
  <si>
    <t>34,85,183</t>
  </si>
  <si>
    <t>P105</t>
  </si>
  <si>
    <t>Silver</t>
  </si>
  <si>
    <t>777B81</t>
  </si>
  <si>
    <t>P85</t>
  </si>
  <si>
    <t>Gold</t>
  </si>
  <si>
    <t>181,127,69</t>
  </si>
  <si>
    <t>B57F45</t>
  </si>
  <si>
    <t>Copper</t>
  </si>
  <si>
    <t>151,99,78</t>
  </si>
  <si>
    <t>97634E</t>
  </si>
  <si>
    <t>Pearl</t>
  </si>
  <si>
    <t>216, 214, 199</t>
  </si>
  <si>
    <t>D8D6C7</t>
  </si>
  <si>
    <t>Pearl Pink</t>
  </si>
  <si>
    <t>227, 123, 173</t>
  </si>
  <si>
    <t>e37bad</t>
  </si>
  <si>
    <t>P104</t>
  </si>
  <si>
    <t>Pearl Light Pink</t>
  </si>
  <si>
    <t>CCA49B</t>
  </si>
  <si>
    <t>P100</t>
  </si>
  <si>
    <t>Pearl Coral</t>
  </si>
  <si>
    <t>E99591</t>
  </si>
  <si>
    <t>P103</t>
  </si>
  <si>
    <t>Pearl Yellow</t>
  </si>
  <si>
    <t>D1C66E</t>
  </si>
  <si>
    <t>p102</t>
  </si>
  <si>
    <t>Pearl Green</t>
  </si>
  <si>
    <t>84B095</t>
  </si>
  <si>
    <t>P101</t>
  </si>
  <si>
    <t>Pearl Light Blue</t>
  </si>
  <si>
    <t>7AAEA2</t>
  </si>
  <si>
    <t>Red Glitter</t>
  </si>
  <si>
    <t>157,56,46</t>
  </si>
  <si>
    <t>9D382E</t>
  </si>
  <si>
    <t>Glitter</t>
  </si>
  <si>
    <t>Blue Glitter</t>
  </si>
  <si>
    <t>0069C0</t>
  </si>
  <si>
    <t>Purple Glitter</t>
  </si>
  <si>
    <t>105,65,132</t>
  </si>
  <si>
    <t>Yellow Glitter</t>
  </si>
  <si>
    <t>186,180,86</t>
  </si>
  <si>
    <t>BAB456</t>
  </si>
  <si>
    <t>Green Glitter</t>
  </si>
  <si>
    <t>00876E</t>
  </si>
  <si>
    <t>Clear Glitter</t>
  </si>
  <si>
    <t>A6A9B1</t>
  </si>
  <si>
    <t>Black Glitter</t>
  </si>
  <si>
    <t>56,55,55</t>
  </si>
  <si>
    <t>White Glitter</t>
  </si>
  <si>
    <t>D0DBDE</t>
  </si>
  <si>
    <t>Pink Glitter</t>
  </si>
  <si>
    <t>226,88,127</t>
  </si>
  <si>
    <t>E2587F</t>
  </si>
  <si>
    <t>Fairy Dust</t>
  </si>
  <si>
    <t>9BAF9E</t>
  </si>
  <si>
    <t>Kiwi Glitter</t>
  </si>
  <si>
    <t>85,158,69</t>
  </si>
  <si>
    <t>Clear</t>
  </si>
  <si>
    <t>9EA7AE</t>
  </si>
  <si>
    <t>transluscent</t>
  </si>
  <si>
    <t>Clear Blue</t>
  </si>
  <si>
    <t>7CD2F2</t>
  </si>
  <si>
    <t>Transparent Turquoise</t>
  </si>
  <si>
    <t>0, 110, 141</t>
  </si>
  <si>
    <t>006d8b</t>
  </si>
  <si>
    <t>P75</t>
  </si>
  <si>
    <t>Glow Green</t>
  </si>
  <si>
    <t>AFC39D</t>
  </si>
  <si>
    <t>glow-in-the-dark</t>
  </si>
  <si>
    <t>Glow Blue</t>
  </si>
  <si>
    <t>56ACBE</t>
  </si>
  <si>
    <t>Glow Pink</t>
  </si>
  <si>
    <t>EE75A8</t>
  </si>
  <si>
    <t>Glow Purple</t>
  </si>
  <si>
    <t>AE66B1</t>
  </si>
  <si>
    <t>Glow Orange</t>
  </si>
  <si>
    <t>EAAF6F</t>
  </si>
  <si>
    <t>Sherbert</t>
  </si>
  <si>
    <t>225, 238, 125</t>
  </si>
  <si>
    <t>E1EE7D</t>
  </si>
  <si>
    <t>Fern</t>
  </si>
  <si>
    <t>123, 151, 48</t>
  </si>
  <si>
    <t>7B9730</t>
  </si>
  <si>
    <t>Olive</t>
  </si>
  <si>
    <t>115, 117, 62</t>
  </si>
  <si>
    <t>72763E</t>
  </si>
  <si>
    <t>Mist</t>
  </si>
  <si>
    <t>156, 185, 199</t>
  </si>
  <si>
    <t>9cb9c7</t>
  </si>
  <si>
    <t>Sky</t>
  </si>
  <si>
    <t>84, 205, 227</t>
  </si>
  <si>
    <t>54CDE3</t>
  </si>
  <si>
    <t>Lagoon</t>
  </si>
  <si>
    <t>0, 171, 178</t>
  </si>
  <si>
    <t>00ABB2</t>
  </si>
  <si>
    <t>Apricot</t>
  </si>
  <si>
    <t>255, 169, 103</t>
  </si>
  <si>
    <t>FFA967</t>
  </si>
  <si>
    <t>Orchid</t>
  </si>
  <si>
    <t>181,108, 153</t>
  </si>
  <si>
    <t>B56C99</t>
  </si>
  <si>
    <t>Spice</t>
  </si>
  <si>
    <t>227, 92, 68</t>
  </si>
  <si>
    <t>E35C44</t>
  </si>
  <si>
    <t>Tomato</t>
  </si>
  <si>
    <t>234, 66, 66</t>
  </si>
  <si>
    <t>EA4241</t>
  </si>
  <si>
    <t>Teal</t>
  </si>
  <si>
    <t>54, 141, 151</t>
  </si>
  <si>
    <t>368D97</t>
  </si>
  <si>
    <t>2255B7</t>
  </si>
  <si>
    <t>559E45</t>
  </si>
  <si>
    <t>P300</t>
  </si>
  <si>
    <t>P301</t>
  </si>
  <si>
    <t>P302</t>
  </si>
  <si>
    <t>P303</t>
  </si>
  <si>
    <t>P999</t>
  </si>
  <si>
    <t>RANDOM</t>
  </si>
  <si>
    <t>CLEAR</t>
  </si>
  <si>
    <t>P998</t>
  </si>
  <si>
    <t>P310</t>
  </si>
  <si>
    <t>SAMPLE PIXEL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</si>
</sst>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color theme="1"/>
      <name val="Arial"/>
      <family val="2"/>
    </font>
    <font>
      <sz val="10"/>
      <color rgb="FFFFFFFF"/>
      <name val="Calibri"/>
      <family val="2"/>
    </font>
    <font>
      <sz val="10"/>
      <color rgb="FFF3F3F3"/>
      <name val="Calibri"/>
      <family val="2"/>
    </font>
    <font>
      <sz val="10"/>
      <color rgb="FFEFEFEF"/>
      <name val="Calibri"/>
      <family val="2"/>
    </font>
    <font>
      <sz val="10"/>
      <color rgb="FFFFFFFF"/>
      <name val="Arial"/>
      <family val="2"/>
    </font>
  </fonts>
  <fills count="10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7F7F2"/>
        <bgColor indexed="64"/>
      </patternFill>
    </fill>
    <fill>
      <patternFill patternType="solid">
        <fgColor rgb="FFBEC3BF"/>
        <bgColor indexed="64"/>
      </patternFill>
    </fill>
    <fill>
      <patternFill patternType="solid">
        <fgColor rgb="FF96989C"/>
        <bgColor indexed="64"/>
      </patternFill>
    </fill>
    <fill>
      <patternFill patternType="solid">
        <fgColor rgb="FF93A19F"/>
        <bgColor indexed="64"/>
      </patternFill>
    </fill>
    <fill>
      <patternFill patternType="solid">
        <fgColor rgb="FF545F5F"/>
        <bgColor indexed="64"/>
      </patternFill>
    </fill>
    <fill>
      <patternFill patternType="solid">
        <fgColor rgb="FF56575C"/>
        <bgColor indexed="64"/>
      </patternFill>
    </fill>
    <fill>
      <patternFill patternType="solid">
        <fgColor rgb="FF343234"/>
        <bgColor indexed="64"/>
      </patternFill>
    </fill>
    <fill>
      <patternFill patternType="solid">
        <fgColor rgb="FFF1E5D8"/>
        <bgColor indexed="64"/>
      </patternFill>
    </fill>
    <fill>
      <patternFill patternType="solid">
        <fgColor rgb="FFEAC49F"/>
        <bgColor indexed="64"/>
      </patternFill>
    </fill>
    <fill>
      <patternFill patternType="solid">
        <fgColor rgb="FFD2B394"/>
        <bgColor indexed="64"/>
      </patternFill>
    </fill>
    <fill>
      <patternFill patternType="solid">
        <fgColor rgb="FFCFA889"/>
        <bgColor indexed="64"/>
      </patternFill>
    </fill>
    <fill>
      <patternFill patternType="solid">
        <fgColor rgb="FFA04E3F"/>
        <bgColor indexed="64"/>
      </patternFill>
    </fill>
    <fill>
      <patternFill patternType="solid">
        <fgColor rgb="FF88404F"/>
        <bgColor indexed="64"/>
      </patternFill>
    </fill>
    <fill>
      <patternFill patternType="solid">
        <fgColor rgb="FF9D7153"/>
        <bgColor indexed="64"/>
      </patternFill>
    </fill>
    <fill>
      <patternFill patternType="solid">
        <fgColor rgb="FF6C524D"/>
        <bgColor indexed="64"/>
      </patternFill>
    </fill>
    <fill>
      <patternFill patternType="solid">
        <fgColor rgb="FFEDE7BA"/>
        <bgColor indexed="64"/>
      </patternFill>
    </fill>
    <fill>
      <patternFill patternType="solid">
        <fgColor rgb="FFFAEE8D"/>
        <bgColor indexed="64"/>
      </patternFill>
    </fill>
    <fill>
      <patternFill patternType="solid">
        <fgColor rgb="FFF9D737"/>
        <bgColor indexed="64"/>
      </patternFill>
    </fill>
    <fill>
      <patternFill patternType="solid">
        <fgColor rgb="FFFFB64E"/>
        <bgColor indexed="64"/>
      </patternFill>
    </fill>
    <fill>
      <patternFill patternType="solid">
        <fgColor rgb="FFFF803E"/>
        <bgColor indexed="64"/>
      </patternFill>
    </fill>
    <fill>
      <patternFill patternType="solid">
        <fgColor rgb="FFE19A52"/>
        <bgColor indexed="64"/>
      </patternFill>
    </fill>
    <fill>
      <patternFill patternType="solid">
        <fgColor rgb="FFFF6158"/>
        <bgColor indexed="64"/>
      </patternFill>
    </fill>
    <fill>
      <patternFill patternType="solid">
        <fgColor rgb="FFFF777F"/>
        <bgColor indexed="64"/>
      </patternFill>
    </fill>
    <fill>
      <patternFill patternType="solid">
        <fgColor rgb="FFFF9E8D"/>
        <bgColor indexed="64"/>
      </patternFill>
    </fill>
    <fill>
      <patternFill patternType="solid">
        <fgColor rgb="FFFFB5BE"/>
        <bgColor indexed="64"/>
      </patternFill>
    </fill>
    <fill>
      <patternFill patternType="solid">
        <fgColor rgb="FFFCC6B8"/>
        <bgColor indexed="64"/>
      </patternFill>
    </fill>
    <fill>
      <patternFill patternType="solid">
        <fgColor rgb="FFF5C0D5"/>
        <bgColor indexed="64"/>
      </patternFill>
    </fill>
    <fill>
      <patternFill patternType="solid">
        <fgColor rgb="FFE16D9D"/>
        <bgColor indexed="64"/>
      </patternFill>
    </fill>
    <fill>
      <patternFill patternType="solid">
        <fgColor rgb="FFE65794"/>
        <bgColor indexed="64"/>
      </patternFill>
    </fill>
    <fill>
      <patternFill patternType="solid">
        <fgColor rgb="FFF34676"/>
        <bgColor indexed="64"/>
      </patternFill>
    </fill>
    <fill>
      <patternFill patternType="solid">
        <fgColor rgb="FFC43A44"/>
        <bgColor indexed="64"/>
      </patternFill>
    </fill>
    <fill>
      <patternFill patternType="solid">
        <fgColor rgb="FFAD3345"/>
        <bgColor indexed="64"/>
      </patternFill>
    </fill>
    <fill>
      <patternFill patternType="solid">
        <fgColor rgb="FFAD3C6C"/>
        <bgColor indexed="64"/>
      </patternFill>
    </fill>
    <fill>
      <patternFill patternType="solid">
        <fgColor rgb="FFB25FAA"/>
        <bgColor indexed="64"/>
      </patternFill>
    </fill>
    <fill>
      <patternFill patternType="solid">
        <fgColor rgb="FFB4A6D3"/>
        <bgColor indexed="64"/>
      </patternFill>
    </fill>
    <fill>
      <patternFill patternType="solid">
        <fgColor rgb="FF9582BB"/>
        <bgColor indexed="64"/>
      </patternFill>
    </fill>
    <fill>
      <patternFill patternType="solid">
        <fgColor rgb="FF6F5493"/>
        <bgColor indexed="64"/>
      </patternFill>
    </fill>
    <fill>
      <patternFill patternType="solid">
        <fgColor rgb="FF87A7E1"/>
        <bgColor indexed="64"/>
      </patternFill>
    </fill>
    <fill>
      <patternFill patternType="solid">
        <fgColor rgb="FF6C88BF"/>
        <bgColor indexed="64"/>
      </patternFill>
    </fill>
    <fill>
      <patternFill patternType="solid">
        <fgColor rgb="FFB4D9DF"/>
        <bgColor indexed="64"/>
      </patternFill>
    </fill>
    <fill>
      <patternFill patternType="solid">
        <fgColor rgb="FF63A9D6"/>
        <bgColor indexed="64"/>
      </patternFill>
    </fill>
    <fill>
      <patternFill patternType="solid">
        <fgColor rgb="FF278ACB"/>
        <bgColor indexed="64"/>
      </patternFill>
    </fill>
    <fill>
      <patternFill patternType="solid">
        <fgColor rgb="FF0066B3"/>
        <bgColor indexed="64"/>
      </patternFill>
    </fill>
    <fill>
      <patternFill patternType="solid">
        <fgColor rgb="FF274B95"/>
        <bgColor indexed="64"/>
      </patternFill>
    </fill>
    <fill>
      <patternFill patternType="solid">
        <fgColor rgb="FF333A56"/>
        <bgColor indexed="64"/>
      </patternFill>
    </fill>
    <fill>
      <patternFill patternType="solid">
        <fgColor rgb="FFB0E8D5"/>
        <bgColor indexed="64"/>
      </patternFill>
    </fill>
    <fill>
      <patternFill patternType="solid">
        <fgColor rgb="FF009DCA"/>
        <bgColor indexed="64"/>
      </patternFill>
    </fill>
    <fill>
      <patternFill patternType="solid">
        <fgColor rgb="FF38C7AF"/>
        <bgColor indexed="64"/>
      </patternFill>
    </fill>
    <fill>
      <patternFill patternType="solid">
        <fgColor rgb="FF00968A"/>
        <bgColor indexed="64"/>
      </patternFill>
    </fill>
    <fill>
      <patternFill patternType="solid">
        <fgColor rgb="FF73D594"/>
        <bgColor indexed="64"/>
      </patternFill>
    </fill>
    <fill>
      <patternFill patternType="solid">
        <fgColor rgb="FF77CA4A"/>
        <bgColor indexed="64"/>
      </patternFill>
    </fill>
    <fill>
      <patternFill patternType="solid">
        <fgColor rgb="FF54B160"/>
        <bgColor indexed="64"/>
      </patternFill>
    </fill>
    <fill>
      <patternFill patternType="solid">
        <fgColor rgb="FF009654"/>
        <bgColor indexed="64"/>
      </patternFill>
    </fill>
    <fill>
      <patternFill patternType="solid">
        <fgColor rgb="FF108355"/>
        <bgColor indexed="64"/>
      </patternFill>
    </fill>
    <fill>
      <patternFill patternType="solid">
        <fgColor rgb="FFCBD735"/>
        <bgColor indexed="64"/>
      </patternFill>
    </fill>
    <fill>
      <patternFill patternType="solid">
        <fgColor rgb="FF3C614F"/>
        <bgColor indexed="64"/>
      </patternFill>
    </fill>
    <fill>
      <patternFill patternType="solid">
        <fgColor rgb="FF00AC4A"/>
        <bgColor indexed="64"/>
      </patternFill>
    </fill>
    <fill>
      <patternFill patternType="solid">
        <fgColor rgb="FFBDD200"/>
        <bgColor indexed="64"/>
      </patternFill>
    </fill>
    <fill>
      <patternFill patternType="solid">
        <fgColor rgb="FFF15289"/>
        <bgColor indexed="64"/>
      </patternFill>
    </fill>
    <fill>
      <patternFill patternType="solid">
        <fgColor rgb="FFFF8D2E"/>
        <bgColor indexed="64"/>
      </patternFill>
    </fill>
    <fill>
      <patternFill patternType="solid">
        <fgColor rgb="FF2255B7"/>
        <bgColor indexed="64"/>
      </patternFill>
    </fill>
    <fill>
      <patternFill patternType="solid">
        <fgColor rgb="FF777B81"/>
        <bgColor indexed="64"/>
      </patternFill>
    </fill>
    <fill>
      <patternFill patternType="solid">
        <fgColor rgb="FFB57F45"/>
        <bgColor indexed="64"/>
      </patternFill>
    </fill>
    <fill>
      <patternFill patternType="solid">
        <fgColor rgb="FF97634E"/>
        <bgColor indexed="64"/>
      </patternFill>
    </fill>
    <fill>
      <patternFill patternType="solid">
        <fgColor rgb="FFD8D6C7"/>
        <bgColor indexed="64"/>
      </patternFill>
    </fill>
    <fill>
      <patternFill patternType="solid">
        <fgColor rgb="FFE37BAD"/>
        <bgColor indexed="64"/>
      </patternFill>
    </fill>
    <fill>
      <patternFill patternType="solid">
        <fgColor rgb="FFCCA49B"/>
        <bgColor indexed="64"/>
      </patternFill>
    </fill>
    <fill>
      <patternFill patternType="solid">
        <fgColor rgb="FFE99591"/>
        <bgColor indexed="64"/>
      </patternFill>
    </fill>
    <fill>
      <patternFill patternType="solid">
        <fgColor rgb="FFD1C66E"/>
        <bgColor indexed="64"/>
      </patternFill>
    </fill>
    <fill>
      <patternFill patternType="solid">
        <fgColor rgb="FF84B791"/>
        <bgColor indexed="64"/>
      </patternFill>
    </fill>
    <fill>
      <patternFill patternType="solid">
        <fgColor rgb="FF84B095"/>
        <bgColor indexed="64"/>
      </patternFill>
    </fill>
    <fill>
      <patternFill patternType="solid">
        <fgColor rgb="FF7AAEA2"/>
        <bgColor indexed="64"/>
      </patternFill>
    </fill>
    <fill>
      <patternFill patternType="solid">
        <fgColor rgb="FF9D382E"/>
        <bgColor indexed="64"/>
      </patternFill>
    </fill>
    <fill>
      <patternFill patternType="solid">
        <fgColor rgb="FF0069C0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BAB456"/>
        <bgColor indexed="64"/>
      </patternFill>
    </fill>
    <fill>
      <patternFill patternType="solid">
        <fgColor rgb="FF00876E"/>
        <bgColor indexed="64"/>
      </patternFill>
    </fill>
    <fill>
      <patternFill patternType="solid">
        <fgColor rgb="FFA6A9B1"/>
        <bgColor indexed="64"/>
      </patternFill>
    </fill>
    <fill>
      <patternFill patternType="solid">
        <fgColor rgb="FF383737"/>
        <bgColor indexed="64"/>
      </patternFill>
    </fill>
    <fill>
      <patternFill patternType="solid">
        <fgColor rgb="FFD0DBDE"/>
        <bgColor indexed="64"/>
      </patternFill>
    </fill>
    <fill>
      <patternFill patternType="solid">
        <fgColor rgb="FFE2587F"/>
        <bgColor indexed="64"/>
      </patternFill>
    </fill>
    <fill>
      <patternFill patternType="solid">
        <fgColor rgb="FF9BAF9E"/>
        <bgColor indexed="64"/>
      </patternFill>
    </fill>
    <fill>
      <patternFill patternType="solid">
        <fgColor rgb="FF559E43"/>
        <bgColor indexed="64"/>
      </patternFill>
    </fill>
    <fill>
      <patternFill patternType="solid">
        <fgColor rgb="FF9EA7AE"/>
        <bgColor indexed="64"/>
      </patternFill>
    </fill>
    <fill>
      <patternFill patternType="solid">
        <fgColor rgb="FF8DCAD8"/>
        <bgColor indexed="64"/>
      </patternFill>
    </fill>
    <fill>
      <patternFill patternType="solid">
        <fgColor rgb="FF006D8B"/>
        <bgColor indexed="64"/>
      </patternFill>
    </fill>
    <fill>
      <patternFill patternType="solid">
        <fgColor rgb="FFAFC39D"/>
        <bgColor indexed="64"/>
      </patternFill>
    </fill>
    <fill>
      <patternFill patternType="solid">
        <fgColor rgb="FF56ACBE"/>
        <bgColor indexed="64"/>
      </patternFill>
    </fill>
    <fill>
      <patternFill patternType="solid">
        <fgColor rgb="FFEE75A8"/>
        <bgColor indexed="64"/>
      </patternFill>
    </fill>
    <fill>
      <patternFill patternType="solid">
        <fgColor rgb="FFAE66B1"/>
        <bgColor indexed="64"/>
      </patternFill>
    </fill>
    <fill>
      <patternFill patternType="solid">
        <fgColor rgb="FFEAAF6F"/>
        <bgColor indexed="64"/>
      </patternFill>
    </fill>
    <fill>
      <patternFill patternType="solid">
        <fgColor rgb="FFE1EE7D"/>
        <bgColor indexed="64"/>
      </patternFill>
    </fill>
    <fill>
      <patternFill patternType="solid">
        <fgColor rgb="FF7B9730"/>
        <bgColor indexed="64"/>
      </patternFill>
    </fill>
    <fill>
      <patternFill patternType="solid">
        <fgColor rgb="FF73753E"/>
        <bgColor indexed="64"/>
      </patternFill>
    </fill>
    <fill>
      <patternFill patternType="solid">
        <fgColor rgb="FF72763E"/>
        <bgColor indexed="64"/>
      </patternFill>
    </fill>
    <fill>
      <patternFill patternType="solid">
        <fgColor rgb="FF9CB9C7"/>
        <bgColor indexed="64"/>
      </patternFill>
    </fill>
    <fill>
      <patternFill patternType="solid">
        <fgColor rgb="FF54CDE3"/>
        <bgColor indexed="64"/>
      </patternFill>
    </fill>
    <fill>
      <patternFill patternType="solid">
        <fgColor rgb="FF00ABB2"/>
        <bgColor indexed="64"/>
      </patternFill>
    </fill>
    <fill>
      <patternFill patternType="solid">
        <fgColor rgb="FFFFA967"/>
        <bgColor indexed="64"/>
      </patternFill>
    </fill>
    <fill>
      <patternFill patternType="solid">
        <fgColor rgb="FFB56C99"/>
        <bgColor indexed="64"/>
      </patternFill>
    </fill>
    <fill>
      <patternFill patternType="solid">
        <fgColor rgb="FFE35C44"/>
        <bgColor indexed="64"/>
      </patternFill>
    </fill>
    <fill>
      <patternFill patternType="solid">
        <fgColor rgb="FFEA4241"/>
        <bgColor indexed="64"/>
      </patternFill>
    </fill>
    <fill>
      <patternFill patternType="solid">
        <fgColor rgb="FF368D97"/>
        <bgColor indexed="64"/>
      </patternFill>
    </fill>
    <fill>
      <patternFill patternType="solid">
        <fgColor rgb="FF6ABDA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264">
    <xf numFmtId="0" fontId="0" fillId="0" borderId="0" xfId="0"/>
    <xf numFmtId="2" fontId="0" fillId="0" borderId="0" xfId="0" applyNumberFormat="1"/>
    <xf numFmtId="0" fontId="1" fillId="2" borderId="1" xfId="0" applyFont="1" applyFill="1" applyBorder="1"/>
    <xf numFmtId="0" fontId="0" fillId="0" borderId="1" xfId="0" applyBorder="1"/>
    <xf numFmtId="0" fontId="0" fillId="0" borderId="1" xfId="0" applyBorder="1" applyAlignment="1"/>
    <xf numFmtId="1" fontId="1" fillId="2" borderId="1" xfId="0" applyNumberFormat="1" applyFont="1" applyFill="1" applyBorder="1" applyAlignment="1">
      <alignment horizontal="center"/>
    </xf>
    <xf numFmtId="0" fontId="2" fillId="3" borderId="5" xfId="0" applyFont="1" applyFill="1" applyBorder="1" applyAlignment="1">
      <alignment horizontal="right" wrapText="1"/>
    </xf>
    <xf numFmtId="0" fontId="3" fillId="0" borderId="5" xfId="0" applyFont="1" applyBorder="1" applyAlignment="1">
      <alignment wrapText="1"/>
    </xf>
    <xf numFmtId="0" fontId="2" fillId="4" borderId="5" xfId="0" applyFont="1" applyFill="1" applyBorder="1" applyAlignment="1">
      <alignment horizontal="right" wrapText="1"/>
    </xf>
    <xf numFmtId="0" fontId="2" fillId="5" borderId="5" xfId="0" applyFont="1" applyFill="1" applyBorder="1" applyAlignment="1">
      <alignment horizontal="right" wrapText="1"/>
    </xf>
    <xf numFmtId="0" fontId="2" fillId="6" borderId="5" xfId="0" applyFont="1" applyFill="1" applyBorder="1" applyAlignment="1">
      <alignment horizontal="right" wrapText="1"/>
    </xf>
    <xf numFmtId="0" fontId="4" fillId="7" borderId="5" xfId="0" applyFont="1" applyFill="1" applyBorder="1" applyAlignment="1">
      <alignment horizontal="right" wrapText="1"/>
    </xf>
    <xf numFmtId="0" fontId="5" fillId="7" borderId="5" xfId="0" applyFont="1" applyFill="1" applyBorder="1" applyAlignment="1">
      <alignment horizontal="right" wrapText="1"/>
    </xf>
    <xf numFmtId="0" fontId="4" fillId="8" borderId="5" xfId="0" applyFont="1" applyFill="1" applyBorder="1" applyAlignment="1">
      <alignment horizontal="right" wrapText="1"/>
    </xf>
    <xf numFmtId="0" fontId="5" fillId="8" borderId="5" xfId="0" applyFont="1" applyFill="1" applyBorder="1" applyAlignment="1">
      <alignment horizontal="right" wrapText="1"/>
    </xf>
    <xf numFmtId="0" fontId="4" fillId="9" borderId="5" xfId="0" applyFont="1" applyFill="1" applyBorder="1" applyAlignment="1">
      <alignment horizontal="right" wrapText="1"/>
    </xf>
    <xf numFmtId="0" fontId="5" fillId="9" borderId="5" xfId="0" applyFont="1" applyFill="1" applyBorder="1" applyAlignment="1">
      <alignment horizontal="right" wrapText="1"/>
    </xf>
    <xf numFmtId="0" fontId="2" fillId="10" borderId="5" xfId="0" applyFont="1" applyFill="1" applyBorder="1" applyAlignment="1">
      <alignment horizontal="right" wrapText="1"/>
    </xf>
    <xf numFmtId="0" fontId="2" fillId="11" borderId="5" xfId="0" applyFont="1" applyFill="1" applyBorder="1" applyAlignment="1">
      <alignment horizontal="right" wrapText="1"/>
    </xf>
    <xf numFmtId="0" fontId="2" fillId="12" borderId="5" xfId="0" applyFont="1" applyFill="1" applyBorder="1" applyAlignment="1">
      <alignment horizontal="right" wrapText="1"/>
    </xf>
    <xf numFmtId="0" fontId="2" fillId="13" borderId="5" xfId="0" applyFont="1" applyFill="1" applyBorder="1" applyAlignment="1">
      <alignment horizontal="right" wrapText="1"/>
    </xf>
    <xf numFmtId="0" fontId="4" fillId="14" borderId="5" xfId="0" applyFont="1" applyFill="1" applyBorder="1" applyAlignment="1">
      <alignment horizontal="right" wrapText="1"/>
    </xf>
    <xf numFmtId="0" fontId="5" fillId="14" borderId="5" xfId="0" applyFont="1" applyFill="1" applyBorder="1" applyAlignment="1">
      <alignment horizontal="right" wrapText="1"/>
    </xf>
    <xf numFmtId="0" fontId="4" fillId="15" borderId="5" xfId="0" applyFont="1" applyFill="1" applyBorder="1" applyAlignment="1">
      <alignment horizontal="right" wrapText="1"/>
    </xf>
    <xf numFmtId="0" fontId="5" fillId="15" borderId="5" xfId="0" applyFont="1" applyFill="1" applyBorder="1" applyAlignment="1">
      <alignment horizontal="right" wrapText="1"/>
    </xf>
    <xf numFmtId="0" fontId="2" fillId="16" borderId="5" xfId="0" applyFont="1" applyFill="1" applyBorder="1" applyAlignment="1">
      <alignment horizontal="right" wrapText="1"/>
    </xf>
    <xf numFmtId="0" fontId="4" fillId="17" borderId="5" xfId="0" applyFont="1" applyFill="1" applyBorder="1" applyAlignment="1">
      <alignment horizontal="right" wrapText="1"/>
    </xf>
    <xf numFmtId="0" fontId="2" fillId="18" borderId="5" xfId="0" applyFont="1" applyFill="1" applyBorder="1" applyAlignment="1">
      <alignment horizontal="right" wrapText="1"/>
    </xf>
    <xf numFmtId="0" fontId="2" fillId="19" borderId="5" xfId="0" applyFont="1" applyFill="1" applyBorder="1" applyAlignment="1">
      <alignment horizontal="right" wrapText="1"/>
    </xf>
    <xf numFmtId="0" fontId="2" fillId="20" borderId="5" xfId="0" applyFont="1" applyFill="1" applyBorder="1" applyAlignment="1">
      <alignment horizontal="right" wrapText="1"/>
    </xf>
    <xf numFmtId="0" fontId="2" fillId="21" borderId="5" xfId="0" applyFont="1" applyFill="1" applyBorder="1" applyAlignment="1">
      <alignment horizontal="right" wrapText="1"/>
    </xf>
    <xf numFmtId="0" fontId="2" fillId="22" borderId="5" xfId="0" applyFont="1" applyFill="1" applyBorder="1" applyAlignment="1">
      <alignment horizontal="right" wrapText="1"/>
    </xf>
    <xf numFmtId="0" fontId="2" fillId="23" borderId="5" xfId="0" applyFont="1" applyFill="1" applyBorder="1" applyAlignment="1">
      <alignment horizontal="right" wrapText="1"/>
    </xf>
    <xf numFmtId="0" fontId="2" fillId="24" borderId="5" xfId="0" applyFont="1" applyFill="1" applyBorder="1" applyAlignment="1">
      <alignment horizontal="right" wrapText="1"/>
    </xf>
    <xf numFmtId="0" fontId="2" fillId="25" borderId="5" xfId="0" applyFont="1" applyFill="1" applyBorder="1" applyAlignment="1">
      <alignment horizontal="right" wrapText="1"/>
    </xf>
    <xf numFmtId="0" fontId="2" fillId="26" borderId="5" xfId="0" applyFont="1" applyFill="1" applyBorder="1" applyAlignment="1">
      <alignment horizontal="right" wrapText="1"/>
    </xf>
    <xf numFmtId="0" fontId="2" fillId="27" borderId="5" xfId="0" applyFont="1" applyFill="1" applyBorder="1" applyAlignment="1">
      <alignment horizontal="right" wrapText="1"/>
    </xf>
    <xf numFmtId="0" fontId="2" fillId="28" borderId="5" xfId="0" applyFont="1" applyFill="1" applyBorder="1" applyAlignment="1">
      <alignment horizontal="right" wrapText="1"/>
    </xf>
    <xf numFmtId="0" fontId="2" fillId="29" borderId="5" xfId="0" applyFont="1" applyFill="1" applyBorder="1" applyAlignment="1">
      <alignment horizontal="right" wrapText="1"/>
    </xf>
    <xf numFmtId="0" fontId="2" fillId="30" borderId="5" xfId="0" applyFont="1" applyFill="1" applyBorder="1" applyAlignment="1">
      <alignment horizontal="right" wrapText="1"/>
    </xf>
    <xf numFmtId="0" fontId="2" fillId="31" borderId="5" xfId="0" applyFont="1" applyFill="1" applyBorder="1" applyAlignment="1">
      <alignment horizontal="right" wrapText="1"/>
    </xf>
    <xf numFmtId="0" fontId="2" fillId="32" borderId="5" xfId="0" applyFont="1" applyFill="1" applyBorder="1" applyAlignment="1">
      <alignment horizontal="right" wrapText="1"/>
    </xf>
    <xf numFmtId="0" fontId="2" fillId="33" borderId="5" xfId="0" applyFont="1" applyFill="1" applyBorder="1" applyAlignment="1">
      <alignment horizontal="right" wrapText="1"/>
    </xf>
    <xf numFmtId="0" fontId="5" fillId="34" borderId="5" xfId="0" applyFont="1" applyFill="1" applyBorder="1" applyAlignment="1">
      <alignment horizontal="right" wrapText="1"/>
    </xf>
    <xf numFmtId="0" fontId="4" fillId="34" borderId="5" xfId="0" applyFont="1" applyFill="1" applyBorder="1" applyAlignment="1">
      <alignment horizontal="right" wrapText="1"/>
    </xf>
    <xf numFmtId="0" fontId="5" fillId="35" borderId="5" xfId="0" applyFont="1" applyFill="1" applyBorder="1" applyAlignment="1">
      <alignment horizontal="right" wrapText="1"/>
    </xf>
    <xf numFmtId="0" fontId="2" fillId="36" borderId="5" xfId="0" applyFont="1" applyFill="1" applyBorder="1" applyAlignment="1">
      <alignment horizontal="right" wrapText="1"/>
    </xf>
    <xf numFmtId="0" fontId="2" fillId="37" borderId="5" xfId="0" applyFont="1" applyFill="1" applyBorder="1" applyAlignment="1">
      <alignment horizontal="right" wrapText="1"/>
    </xf>
    <xf numFmtId="0" fontId="2" fillId="38" borderId="5" xfId="0" applyFont="1" applyFill="1" applyBorder="1" applyAlignment="1">
      <alignment horizontal="right" wrapText="1"/>
    </xf>
    <xf numFmtId="0" fontId="4" fillId="39" borderId="5" xfId="0" applyFont="1" applyFill="1" applyBorder="1" applyAlignment="1">
      <alignment horizontal="right" wrapText="1"/>
    </xf>
    <xf numFmtId="0" fontId="2" fillId="40" borderId="5" xfId="0" applyFont="1" applyFill="1" applyBorder="1" applyAlignment="1">
      <alignment horizontal="right" wrapText="1"/>
    </xf>
    <xf numFmtId="0" fontId="2" fillId="41" borderId="5" xfId="0" applyFont="1" applyFill="1" applyBorder="1" applyAlignment="1">
      <alignment horizontal="right" wrapText="1"/>
    </xf>
    <xf numFmtId="0" fontId="2" fillId="42" borderId="5" xfId="0" applyFont="1" applyFill="1" applyBorder="1" applyAlignment="1">
      <alignment horizontal="right" wrapText="1"/>
    </xf>
    <xf numFmtId="0" fontId="2" fillId="43" borderId="5" xfId="0" applyFont="1" applyFill="1" applyBorder="1" applyAlignment="1">
      <alignment horizontal="right" wrapText="1"/>
    </xf>
    <xf numFmtId="0" fontId="2" fillId="44" borderId="5" xfId="0" applyFont="1" applyFill="1" applyBorder="1" applyAlignment="1">
      <alignment horizontal="right" wrapText="1"/>
    </xf>
    <xf numFmtId="0" fontId="4" fillId="45" borderId="5" xfId="0" applyFont="1" applyFill="1" applyBorder="1" applyAlignment="1">
      <alignment horizontal="right" wrapText="1"/>
    </xf>
    <xf numFmtId="0" fontId="5" fillId="46" borderId="5" xfId="0" applyFont="1" applyFill="1" applyBorder="1" applyAlignment="1">
      <alignment horizontal="right" wrapText="1"/>
    </xf>
    <xf numFmtId="0" fontId="5" fillId="47" borderId="5" xfId="0" applyFont="1" applyFill="1" applyBorder="1" applyAlignment="1">
      <alignment horizontal="right" wrapText="1"/>
    </xf>
    <xf numFmtId="0" fontId="2" fillId="48" borderId="5" xfId="0" applyFont="1" applyFill="1" applyBorder="1" applyAlignment="1">
      <alignment horizontal="right" wrapText="1"/>
    </xf>
    <xf numFmtId="0" fontId="2" fillId="49" borderId="5" xfId="0" applyFont="1" applyFill="1" applyBorder="1" applyAlignment="1">
      <alignment horizontal="right" wrapText="1"/>
    </xf>
    <xf numFmtId="0" fontId="2" fillId="50" borderId="5" xfId="0" applyFont="1" applyFill="1" applyBorder="1" applyAlignment="1">
      <alignment horizontal="right" wrapText="1"/>
    </xf>
    <xf numFmtId="0" fontId="2" fillId="51" borderId="5" xfId="0" applyFont="1" applyFill="1" applyBorder="1" applyAlignment="1">
      <alignment horizontal="right" wrapText="1"/>
    </xf>
    <xf numFmtId="0" fontId="2" fillId="52" borderId="5" xfId="0" applyFont="1" applyFill="1" applyBorder="1" applyAlignment="1">
      <alignment horizontal="right" wrapText="1"/>
    </xf>
    <xf numFmtId="0" fontId="2" fillId="53" borderId="5" xfId="0" applyFont="1" applyFill="1" applyBorder="1" applyAlignment="1">
      <alignment horizontal="right" wrapText="1"/>
    </xf>
    <xf numFmtId="0" fontId="2" fillId="54" borderId="5" xfId="0" applyFont="1" applyFill="1" applyBorder="1" applyAlignment="1">
      <alignment horizontal="right" wrapText="1"/>
    </xf>
    <xf numFmtId="0" fontId="2" fillId="55" borderId="5" xfId="0" applyFont="1" applyFill="1" applyBorder="1" applyAlignment="1">
      <alignment horizontal="right" wrapText="1"/>
    </xf>
    <xf numFmtId="0" fontId="4" fillId="56" borderId="5" xfId="0" applyFont="1" applyFill="1" applyBorder="1" applyAlignment="1">
      <alignment horizontal="right" wrapText="1"/>
    </xf>
    <xf numFmtId="0" fontId="2" fillId="57" borderId="5" xfId="0" applyFont="1" applyFill="1" applyBorder="1" applyAlignment="1">
      <alignment horizontal="right" wrapText="1"/>
    </xf>
    <xf numFmtId="0" fontId="4" fillId="58" borderId="5" xfId="0" applyFont="1" applyFill="1" applyBorder="1" applyAlignment="1">
      <alignment horizontal="right" wrapText="1"/>
    </xf>
    <xf numFmtId="0" fontId="5" fillId="59" borderId="5" xfId="0" applyFont="1" applyFill="1" applyBorder="1" applyAlignment="1">
      <alignment horizontal="right" wrapText="1"/>
    </xf>
    <xf numFmtId="0" fontId="4" fillId="59" borderId="5" xfId="0" applyFont="1" applyFill="1" applyBorder="1" applyAlignment="1">
      <alignment horizontal="right" wrapText="1"/>
    </xf>
    <xf numFmtId="0" fontId="2" fillId="60" borderId="5" xfId="0" applyFont="1" applyFill="1" applyBorder="1" applyAlignment="1">
      <alignment horizontal="right" wrapText="1"/>
    </xf>
    <xf numFmtId="0" fontId="2" fillId="61" borderId="5" xfId="0" applyFont="1" applyFill="1" applyBorder="1" applyAlignment="1">
      <alignment horizontal="right" wrapText="1"/>
    </xf>
    <xf numFmtId="0" fontId="2" fillId="62" borderId="5" xfId="0" applyFont="1" applyFill="1" applyBorder="1" applyAlignment="1">
      <alignment horizontal="right" wrapText="1"/>
    </xf>
    <xf numFmtId="0" fontId="4" fillId="63" borderId="5" xfId="0" applyFont="1" applyFill="1" applyBorder="1" applyAlignment="1">
      <alignment horizontal="right" wrapText="1"/>
    </xf>
    <xf numFmtId="0" fontId="2" fillId="64" borderId="5" xfId="0" applyFont="1" applyFill="1" applyBorder="1" applyAlignment="1">
      <alignment horizontal="right" wrapText="1"/>
    </xf>
    <xf numFmtId="0" fontId="2" fillId="65" borderId="5" xfId="0" applyFont="1" applyFill="1" applyBorder="1" applyAlignment="1">
      <alignment horizontal="right" wrapText="1"/>
    </xf>
    <xf numFmtId="0" fontId="5" fillId="66" borderId="5" xfId="0" applyFont="1" applyFill="1" applyBorder="1" applyAlignment="1">
      <alignment horizontal="right" wrapText="1"/>
    </xf>
    <xf numFmtId="0" fontId="2" fillId="67" borderId="5" xfId="0" applyFont="1" applyFill="1" applyBorder="1" applyAlignment="1">
      <alignment horizontal="right" wrapText="1"/>
    </xf>
    <xf numFmtId="0" fontId="2" fillId="68" borderId="5" xfId="0" applyFont="1" applyFill="1" applyBorder="1" applyAlignment="1">
      <alignment horizontal="right" wrapText="1"/>
    </xf>
    <xf numFmtId="0" fontId="2" fillId="69" borderId="5" xfId="0" applyFont="1" applyFill="1" applyBorder="1" applyAlignment="1">
      <alignment horizontal="right" wrapText="1"/>
    </xf>
    <xf numFmtId="0" fontId="2" fillId="70" borderId="5" xfId="0" applyFont="1" applyFill="1" applyBorder="1" applyAlignment="1">
      <alignment horizontal="right" wrapText="1"/>
    </xf>
    <xf numFmtId="0" fontId="2" fillId="71" borderId="5" xfId="0" applyFont="1" applyFill="1" applyBorder="1" applyAlignment="1">
      <alignment horizontal="right" wrapText="1"/>
    </xf>
    <xf numFmtId="0" fontId="2" fillId="72" borderId="5" xfId="0" applyFont="1" applyFill="1" applyBorder="1" applyAlignment="1">
      <alignment horizontal="right" wrapText="1"/>
    </xf>
    <xf numFmtId="0" fontId="2" fillId="73" borderId="5" xfId="0" applyFont="1" applyFill="1" applyBorder="1" applyAlignment="1">
      <alignment horizontal="right" wrapText="1"/>
    </xf>
    <xf numFmtId="0" fontId="2" fillId="74" borderId="5" xfId="0" applyFont="1" applyFill="1" applyBorder="1" applyAlignment="1">
      <alignment horizontal="right" wrapText="1"/>
    </xf>
    <xf numFmtId="0" fontId="5" fillId="75" borderId="5" xfId="0" applyFont="1" applyFill="1" applyBorder="1" applyAlignment="1">
      <alignment horizontal="right" wrapText="1"/>
    </xf>
    <xf numFmtId="0" fontId="2" fillId="76" borderId="5" xfId="0" applyFont="1" applyFill="1" applyBorder="1" applyAlignment="1">
      <alignment horizontal="right" wrapText="1"/>
    </xf>
    <xf numFmtId="0" fontId="2" fillId="77" borderId="5" xfId="0" applyFont="1" applyFill="1" applyBorder="1" applyAlignment="1">
      <alignment horizontal="right" wrapText="1"/>
    </xf>
    <xf numFmtId="0" fontId="2" fillId="78" borderId="5" xfId="0" applyFont="1" applyFill="1" applyBorder="1" applyAlignment="1">
      <alignment horizontal="right" wrapText="1"/>
    </xf>
    <xf numFmtId="0" fontId="2" fillId="79" borderId="5" xfId="0" applyFont="1" applyFill="1" applyBorder="1" applyAlignment="1">
      <alignment horizontal="right" wrapText="1"/>
    </xf>
    <xf numFmtId="0" fontId="2" fillId="80" borderId="5" xfId="0" applyFont="1" applyFill="1" applyBorder="1" applyAlignment="1">
      <alignment horizontal="right" wrapText="1"/>
    </xf>
    <xf numFmtId="0" fontId="5" fillId="81" borderId="5" xfId="0" applyFont="1" applyFill="1" applyBorder="1" applyAlignment="1">
      <alignment horizontal="right" wrapText="1"/>
    </xf>
    <xf numFmtId="0" fontId="2" fillId="82" borderId="5" xfId="0" applyFont="1" applyFill="1" applyBorder="1" applyAlignment="1">
      <alignment horizontal="right" wrapText="1"/>
    </xf>
    <xf numFmtId="0" fontId="2" fillId="83" borderId="5" xfId="0" applyFont="1" applyFill="1" applyBorder="1" applyAlignment="1">
      <alignment horizontal="right" wrapText="1"/>
    </xf>
    <xf numFmtId="0" fontId="2" fillId="84" borderId="5" xfId="0" applyFont="1" applyFill="1" applyBorder="1" applyAlignment="1">
      <alignment horizontal="right" wrapText="1"/>
    </xf>
    <xf numFmtId="0" fontId="2" fillId="85" borderId="5" xfId="0" applyFont="1" applyFill="1" applyBorder="1" applyAlignment="1">
      <alignment horizontal="right" wrapText="1"/>
    </xf>
    <xf numFmtId="0" fontId="2" fillId="86" borderId="5" xfId="0" applyFont="1" applyFill="1" applyBorder="1" applyAlignment="1">
      <alignment horizontal="right" wrapText="1"/>
    </xf>
    <xf numFmtId="0" fontId="2" fillId="87" borderId="5" xfId="0" applyFont="1" applyFill="1" applyBorder="1" applyAlignment="1">
      <alignment horizontal="right" wrapText="1"/>
    </xf>
    <xf numFmtId="0" fontId="6" fillId="88" borderId="5" xfId="0" applyFont="1" applyFill="1" applyBorder="1" applyAlignment="1">
      <alignment horizontal="right" wrapText="1"/>
    </xf>
    <xf numFmtId="0" fontId="2" fillId="89" borderId="5" xfId="0" applyFont="1" applyFill="1" applyBorder="1" applyAlignment="1">
      <alignment horizontal="right" wrapText="1"/>
    </xf>
    <xf numFmtId="0" fontId="2" fillId="90" borderId="5" xfId="0" applyFont="1" applyFill="1" applyBorder="1" applyAlignment="1">
      <alignment horizontal="right" wrapText="1"/>
    </xf>
    <xf numFmtId="0" fontId="2" fillId="91" borderId="5" xfId="0" applyFont="1" applyFill="1" applyBorder="1" applyAlignment="1">
      <alignment horizontal="right" wrapText="1"/>
    </xf>
    <xf numFmtId="0" fontId="2" fillId="92" borderId="5" xfId="0" applyFont="1" applyFill="1" applyBorder="1" applyAlignment="1">
      <alignment horizontal="right" wrapText="1"/>
    </xf>
    <xf numFmtId="0" fontId="2" fillId="93" borderId="5" xfId="0" applyFont="1" applyFill="1" applyBorder="1" applyAlignment="1">
      <alignment horizontal="right" wrapText="1"/>
    </xf>
    <xf numFmtId="0" fontId="0" fillId="0" borderId="0" xfId="0" applyAlignment="1"/>
    <xf numFmtId="0" fontId="2" fillId="3" borderId="5" xfId="0" applyFont="1" applyFill="1" applyBorder="1" applyAlignment="1">
      <alignment horizontal="right"/>
    </xf>
    <xf numFmtId="0" fontId="2" fillId="4" borderId="5" xfId="0" applyFont="1" applyFill="1" applyBorder="1" applyAlignment="1">
      <alignment horizontal="right"/>
    </xf>
    <xf numFmtId="0" fontId="2" fillId="5" borderId="5" xfId="0" applyFont="1" applyFill="1" applyBorder="1" applyAlignment="1">
      <alignment horizontal="right"/>
    </xf>
    <xf numFmtId="0" fontId="2" fillId="6" borderId="5" xfId="0" applyFont="1" applyFill="1" applyBorder="1" applyAlignment="1">
      <alignment horizontal="right"/>
    </xf>
    <xf numFmtId="0" fontId="4" fillId="7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/>
    </xf>
    <xf numFmtId="0" fontId="4" fillId="9" borderId="5" xfId="0" applyFont="1" applyFill="1" applyBorder="1" applyAlignment="1">
      <alignment horizontal="right"/>
    </xf>
    <xf numFmtId="0" fontId="3" fillId="0" borderId="5" xfId="0" applyFont="1" applyBorder="1" applyAlignment="1"/>
    <xf numFmtId="0" fontId="2" fillId="10" borderId="5" xfId="0" applyFont="1" applyFill="1" applyBorder="1" applyAlignment="1">
      <alignment horizontal="right"/>
    </xf>
    <xf numFmtId="0" fontId="2" fillId="11" borderId="5" xfId="0" applyFont="1" applyFill="1" applyBorder="1" applyAlignment="1">
      <alignment horizontal="right"/>
    </xf>
    <xf numFmtId="0" fontId="2" fillId="12" borderId="5" xfId="0" applyFont="1" applyFill="1" applyBorder="1" applyAlignment="1">
      <alignment horizontal="right"/>
    </xf>
    <xf numFmtId="0" fontId="2" fillId="13" borderId="5" xfId="0" applyFont="1" applyFill="1" applyBorder="1" applyAlignment="1">
      <alignment horizontal="right"/>
    </xf>
    <xf numFmtId="0" fontId="4" fillId="14" borderId="5" xfId="0" applyFont="1" applyFill="1" applyBorder="1" applyAlignment="1">
      <alignment horizontal="right"/>
    </xf>
    <xf numFmtId="0" fontId="4" fillId="15" borderId="5" xfId="0" applyFont="1" applyFill="1" applyBorder="1" applyAlignment="1">
      <alignment horizontal="right"/>
    </xf>
    <xf numFmtId="0" fontId="2" fillId="16" borderId="5" xfId="0" applyFont="1" applyFill="1" applyBorder="1" applyAlignment="1">
      <alignment horizontal="right"/>
    </xf>
    <xf numFmtId="0" fontId="4" fillId="17" borderId="5" xfId="0" applyFont="1" applyFill="1" applyBorder="1" applyAlignment="1">
      <alignment horizontal="right"/>
    </xf>
    <xf numFmtId="0" fontId="2" fillId="18" borderId="5" xfId="0" applyFont="1" applyFill="1" applyBorder="1" applyAlignment="1">
      <alignment horizontal="right"/>
    </xf>
    <xf numFmtId="0" fontId="2" fillId="19" borderId="5" xfId="0" applyFont="1" applyFill="1" applyBorder="1" applyAlignment="1">
      <alignment horizontal="right"/>
    </xf>
    <xf numFmtId="0" fontId="2" fillId="20" borderId="5" xfId="0" applyFont="1" applyFill="1" applyBorder="1" applyAlignment="1">
      <alignment horizontal="right"/>
    </xf>
    <xf numFmtId="0" fontId="2" fillId="21" borderId="5" xfId="0" applyFont="1" applyFill="1" applyBorder="1" applyAlignment="1">
      <alignment horizontal="right"/>
    </xf>
    <xf numFmtId="0" fontId="2" fillId="22" borderId="5" xfId="0" applyFont="1" applyFill="1" applyBorder="1" applyAlignment="1">
      <alignment horizontal="right"/>
    </xf>
    <xf numFmtId="0" fontId="2" fillId="23" borderId="5" xfId="0" applyFont="1" applyFill="1" applyBorder="1" applyAlignment="1">
      <alignment horizontal="right"/>
    </xf>
    <xf numFmtId="0" fontId="2" fillId="24" borderId="5" xfId="0" applyFont="1" applyFill="1" applyBorder="1" applyAlignment="1">
      <alignment horizontal="right"/>
    </xf>
    <xf numFmtId="0" fontId="2" fillId="25" borderId="5" xfId="0" applyFont="1" applyFill="1" applyBorder="1" applyAlignment="1">
      <alignment horizontal="right"/>
    </xf>
    <xf numFmtId="0" fontId="2" fillId="26" borderId="5" xfId="0" applyFont="1" applyFill="1" applyBorder="1" applyAlignment="1">
      <alignment horizontal="right"/>
    </xf>
    <xf numFmtId="0" fontId="2" fillId="27" borderId="5" xfId="0" applyFont="1" applyFill="1" applyBorder="1" applyAlignment="1">
      <alignment horizontal="right"/>
    </xf>
    <xf numFmtId="0" fontId="2" fillId="28" borderId="5" xfId="0" applyFont="1" applyFill="1" applyBorder="1" applyAlignment="1">
      <alignment horizontal="right"/>
    </xf>
    <xf numFmtId="0" fontId="2" fillId="29" borderId="5" xfId="0" applyFont="1" applyFill="1" applyBorder="1" applyAlignment="1">
      <alignment horizontal="right"/>
    </xf>
    <xf numFmtId="0" fontId="2" fillId="30" borderId="5" xfId="0" applyFont="1" applyFill="1" applyBorder="1" applyAlignment="1">
      <alignment horizontal="right"/>
    </xf>
    <xf numFmtId="0" fontId="2" fillId="31" borderId="5" xfId="0" applyFont="1" applyFill="1" applyBorder="1" applyAlignment="1">
      <alignment horizontal="right"/>
    </xf>
    <xf numFmtId="0" fontId="2" fillId="32" borderId="5" xfId="0" applyFont="1" applyFill="1" applyBorder="1" applyAlignment="1">
      <alignment horizontal="right"/>
    </xf>
    <xf numFmtId="0" fontId="2" fillId="33" borderId="5" xfId="0" applyFont="1" applyFill="1" applyBorder="1" applyAlignment="1">
      <alignment horizontal="right"/>
    </xf>
    <xf numFmtId="0" fontId="5" fillId="34" borderId="5" xfId="0" applyFont="1" applyFill="1" applyBorder="1" applyAlignment="1">
      <alignment horizontal="right"/>
    </xf>
    <xf numFmtId="0" fontId="5" fillId="35" borderId="5" xfId="0" applyFont="1" applyFill="1" applyBorder="1" applyAlignment="1">
      <alignment horizontal="right"/>
    </xf>
    <xf numFmtId="0" fontId="2" fillId="36" borderId="5" xfId="0" applyFont="1" applyFill="1" applyBorder="1" applyAlignment="1">
      <alignment horizontal="right"/>
    </xf>
    <xf numFmtId="0" fontId="2" fillId="37" borderId="5" xfId="0" applyFont="1" applyFill="1" applyBorder="1" applyAlignment="1">
      <alignment horizontal="right"/>
    </xf>
    <xf numFmtId="0" fontId="2" fillId="38" borderId="5" xfId="0" applyFont="1" applyFill="1" applyBorder="1" applyAlignment="1">
      <alignment horizontal="right"/>
    </xf>
    <xf numFmtId="0" fontId="4" fillId="39" borderId="5" xfId="0" applyFont="1" applyFill="1" applyBorder="1" applyAlignment="1">
      <alignment horizontal="right"/>
    </xf>
    <xf numFmtId="0" fontId="2" fillId="40" borderId="5" xfId="0" applyFont="1" applyFill="1" applyBorder="1" applyAlignment="1">
      <alignment horizontal="right"/>
    </xf>
    <xf numFmtId="0" fontId="2" fillId="41" borderId="5" xfId="0" applyFont="1" applyFill="1" applyBorder="1" applyAlignment="1">
      <alignment horizontal="right"/>
    </xf>
    <xf numFmtId="0" fontId="2" fillId="42" borderId="5" xfId="0" applyFont="1" applyFill="1" applyBorder="1" applyAlignment="1">
      <alignment horizontal="right"/>
    </xf>
    <xf numFmtId="0" fontId="2" fillId="43" borderId="5" xfId="0" applyFont="1" applyFill="1" applyBorder="1" applyAlignment="1">
      <alignment horizontal="right"/>
    </xf>
    <xf numFmtId="0" fontId="2" fillId="44" borderId="5" xfId="0" applyFont="1" applyFill="1" applyBorder="1" applyAlignment="1">
      <alignment horizontal="right"/>
    </xf>
    <xf numFmtId="0" fontId="4" fillId="45" borderId="5" xfId="0" applyFont="1" applyFill="1" applyBorder="1" applyAlignment="1">
      <alignment horizontal="right"/>
    </xf>
    <xf numFmtId="0" fontId="5" fillId="46" borderId="5" xfId="0" applyFont="1" applyFill="1" applyBorder="1" applyAlignment="1">
      <alignment horizontal="right"/>
    </xf>
    <xf numFmtId="0" fontId="5" fillId="47" borderId="5" xfId="0" applyFont="1" applyFill="1" applyBorder="1" applyAlignment="1">
      <alignment horizontal="right"/>
    </xf>
    <xf numFmtId="0" fontId="2" fillId="48" borderId="5" xfId="0" applyFont="1" applyFill="1" applyBorder="1" applyAlignment="1">
      <alignment horizontal="right"/>
    </xf>
    <xf numFmtId="0" fontId="2" fillId="49" borderId="5" xfId="0" applyFont="1" applyFill="1" applyBorder="1" applyAlignment="1">
      <alignment horizontal="right"/>
    </xf>
    <xf numFmtId="0" fontId="2" fillId="50" borderId="5" xfId="0" applyFont="1" applyFill="1" applyBorder="1" applyAlignment="1">
      <alignment horizontal="right"/>
    </xf>
    <xf numFmtId="0" fontId="2" fillId="51" borderId="5" xfId="0" applyFont="1" applyFill="1" applyBorder="1" applyAlignment="1">
      <alignment horizontal="right"/>
    </xf>
    <xf numFmtId="0" fontId="2" fillId="52" borderId="5" xfId="0" applyFont="1" applyFill="1" applyBorder="1" applyAlignment="1">
      <alignment horizontal="right"/>
    </xf>
    <xf numFmtId="0" fontId="2" fillId="53" borderId="5" xfId="0" applyFont="1" applyFill="1" applyBorder="1" applyAlignment="1">
      <alignment horizontal="right"/>
    </xf>
    <xf numFmtId="0" fontId="2" fillId="54" borderId="5" xfId="0" applyFont="1" applyFill="1" applyBorder="1" applyAlignment="1">
      <alignment horizontal="right"/>
    </xf>
    <xf numFmtId="0" fontId="2" fillId="55" borderId="5" xfId="0" applyFont="1" applyFill="1" applyBorder="1" applyAlignment="1">
      <alignment horizontal="right"/>
    </xf>
    <xf numFmtId="0" fontId="4" fillId="56" borderId="5" xfId="0" applyFont="1" applyFill="1" applyBorder="1" applyAlignment="1">
      <alignment horizontal="right"/>
    </xf>
    <xf numFmtId="0" fontId="2" fillId="57" borderId="5" xfId="0" applyFont="1" applyFill="1" applyBorder="1" applyAlignment="1">
      <alignment horizontal="right"/>
    </xf>
    <xf numFmtId="0" fontId="4" fillId="58" borderId="5" xfId="0" applyFont="1" applyFill="1" applyBorder="1" applyAlignment="1">
      <alignment horizontal="right"/>
    </xf>
    <xf numFmtId="0" fontId="5" fillId="59" borderId="5" xfId="0" applyFont="1" applyFill="1" applyBorder="1" applyAlignment="1">
      <alignment horizontal="right"/>
    </xf>
    <xf numFmtId="0" fontId="2" fillId="60" borderId="5" xfId="0" applyFont="1" applyFill="1" applyBorder="1" applyAlignment="1">
      <alignment horizontal="right"/>
    </xf>
    <xf numFmtId="0" fontId="2" fillId="61" borderId="5" xfId="0" applyFont="1" applyFill="1" applyBorder="1" applyAlignment="1">
      <alignment horizontal="right"/>
    </xf>
    <xf numFmtId="0" fontId="2" fillId="62" borderId="5" xfId="0" applyFont="1" applyFill="1" applyBorder="1" applyAlignment="1">
      <alignment horizontal="right"/>
    </xf>
    <xf numFmtId="0" fontId="4" fillId="63" borderId="5" xfId="0" applyFont="1" applyFill="1" applyBorder="1" applyAlignment="1">
      <alignment horizontal="right"/>
    </xf>
    <xf numFmtId="0" fontId="2" fillId="64" borderId="5" xfId="0" applyFont="1" applyFill="1" applyBorder="1" applyAlignment="1">
      <alignment horizontal="right"/>
    </xf>
    <xf numFmtId="0" fontId="2" fillId="65" borderId="5" xfId="0" applyFont="1" applyFill="1" applyBorder="1" applyAlignment="1">
      <alignment horizontal="right"/>
    </xf>
    <xf numFmtId="0" fontId="5" fillId="66" borderId="5" xfId="0" applyFont="1" applyFill="1" applyBorder="1" applyAlignment="1">
      <alignment horizontal="right"/>
    </xf>
    <xf numFmtId="0" fontId="2" fillId="67" borderId="5" xfId="0" applyFont="1" applyFill="1" applyBorder="1" applyAlignment="1">
      <alignment horizontal="right"/>
    </xf>
    <xf numFmtId="0" fontId="2" fillId="68" borderId="5" xfId="0" applyFont="1" applyFill="1" applyBorder="1" applyAlignment="1">
      <alignment horizontal="right"/>
    </xf>
    <xf numFmtId="0" fontId="2" fillId="69" borderId="5" xfId="0" applyFont="1" applyFill="1" applyBorder="1" applyAlignment="1">
      <alignment horizontal="right"/>
    </xf>
    <xf numFmtId="0" fontId="2" fillId="70" borderId="5" xfId="0" applyFont="1" applyFill="1" applyBorder="1" applyAlignment="1">
      <alignment horizontal="right"/>
    </xf>
    <xf numFmtId="0" fontId="2" fillId="71" borderId="5" xfId="0" applyFont="1" applyFill="1" applyBorder="1" applyAlignment="1">
      <alignment horizontal="right"/>
    </xf>
    <xf numFmtId="0" fontId="2" fillId="73" borderId="5" xfId="0" applyFont="1" applyFill="1" applyBorder="1" applyAlignment="1">
      <alignment horizontal="right"/>
    </xf>
    <xf numFmtId="0" fontId="2" fillId="74" borderId="5" xfId="0" applyFont="1" applyFill="1" applyBorder="1" applyAlignment="1">
      <alignment horizontal="right"/>
    </xf>
    <xf numFmtId="0" fontId="5" fillId="75" borderId="5" xfId="0" applyFont="1" applyFill="1" applyBorder="1" applyAlignment="1">
      <alignment horizontal="right"/>
    </xf>
    <xf numFmtId="0" fontId="2" fillId="76" borderId="5" xfId="0" applyFont="1" applyFill="1" applyBorder="1" applyAlignment="1">
      <alignment horizontal="right"/>
    </xf>
    <xf numFmtId="0" fontId="2" fillId="77" borderId="5" xfId="0" applyFont="1" applyFill="1" applyBorder="1" applyAlignment="1">
      <alignment horizontal="right"/>
    </xf>
    <xf numFmtId="0" fontId="2" fillId="78" borderId="5" xfId="0" applyFont="1" applyFill="1" applyBorder="1" applyAlignment="1">
      <alignment horizontal="right"/>
    </xf>
    <xf numFmtId="0" fontId="2" fillId="79" borderId="5" xfId="0" applyFont="1" applyFill="1" applyBorder="1" applyAlignment="1">
      <alignment horizontal="right"/>
    </xf>
    <xf numFmtId="0" fontId="2" fillId="80" borderId="5" xfId="0" applyFont="1" applyFill="1" applyBorder="1" applyAlignment="1">
      <alignment horizontal="right"/>
    </xf>
    <xf numFmtId="0" fontId="5" fillId="81" borderId="5" xfId="0" applyFont="1" applyFill="1" applyBorder="1" applyAlignment="1">
      <alignment horizontal="right"/>
    </xf>
    <xf numFmtId="0" fontId="2" fillId="82" borderId="5" xfId="0" applyFont="1" applyFill="1" applyBorder="1" applyAlignment="1">
      <alignment horizontal="right"/>
    </xf>
    <xf numFmtId="0" fontId="2" fillId="83" borderId="5" xfId="0" applyFont="1" applyFill="1" applyBorder="1" applyAlignment="1">
      <alignment horizontal="right"/>
    </xf>
    <xf numFmtId="0" fontId="2" fillId="84" borderId="5" xfId="0" applyFont="1" applyFill="1" applyBorder="1" applyAlignment="1">
      <alignment horizontal="right"/>
    </xf>
    <xf numFmtId="0" fontId="2" fillId="85" borderId="5" xfId="0" applyFont="1" applyFill="1" applyBorder="1" applyAlignment="1">
      <alignment horizontal="right"/>
    </xf>
    <xf numFmtId="0" fontId="2" fillId="86" borderId="5" xfId="0" applyFont="1" applyFill="1" applyBorder="1" applyAlignment="1">
      <alignment horizontal="right"/>
    </xf>
    <xf numFmtId="0" fontId="2" fillId="87" borderId="5" xfId="0" applyFont="1" applyFill="1" applyBorder="1" applyAlignment="1">
      <alignment horizontal="right"/>
    </xf>
    <xf numFmtId="0" fontId="6" fillId="88" borderId="5" xfId="0" applyFont="1" applyFill="1" applyBorder="1" applyAlignment="1">
      <alignment horizontal="right"/>
    </xf>
    <xf numFmtId="0" fontId="2" fillId="89" borderId="5" xfId="0" applyFont="1" applyFill="1" applyBorder="1" applyAlignment="1">
      <alignment horizontal="right"/>
    </xf>
    <xf numFmtId="0" fontId="2" fillId="90" borderId="5" xfId="0" applyFont="1" applyFill="1" applyBorder="1" applyAlignment="1">
      <alignment horizontal="right"/>
    </xf>
    <xf numFmtId="0" fontId="2" fillId="91" borderId="5" xfId="0" applyFont="1" applyFill="1" applyBorder="1" applyAlignment="1">
      <alignment horizontal="right"/>
    </xf>
    <xf numFmtId="0" fontId="2" fillId="92" borderId="5" xfId="0" applyFont="1" applyFill="1" applyBorder="1" applyAlignment="1">
      <alignment horizontal="right"/>
    </xf>
    <xf numFmtId="0" fontId="2" fillId="93" borderId="5" xfId="0" applyFont="1" applyFill="1" applyBorder="1" applyAlignment="1">
      <alignment horizontal="right"/>
    </xf>
    <xf numFmtId="3" fontId="2" fillId="10" borderId="5" xfId="0" applyNumberFormat="1" applyFont="1" applyFill="1" applyBorder="1" applyAlignment="1">
      <alignment horizontal="right"/>
    </xf>
    <xf numFmtId="3" fontId="2" fillId="11" borderId="5" xfId="0" applyNumberFormat="1" applyFont="1" applyFill="1" applyBorder="1" applyAlignment="1">
      <alignment horizontal="right"/>
    </xf>
    <xf numFmtId="3" fontId="2" fillId="12" borderId="5" xfId="0" applyNumberFormat="1" applyFont="1" applyFill="1" applyBorder="1" applyAlignment="1">
      <alignment horizontal="right"/>
    </xf>
    <xf numFmtId="3" fontId="2" fillId="13" borderId="5" xfId="0" applyNumberFormat="1" applyFont="1" applyFill="1" applyBorder="1" applyAlignment="1">
      <alignment horizontal="right"/>
    </xf>
    <xf numFmtId="3" fontId="2" fillId="18" borderId="5" xfId="0" applyNumberFormat="1" applyFont="1" applyFill="1" applyBorder="1" applyAlignment="1">
      <alignment horizontal="right"/>
    </xf>
    <xf numFmtId="3" fontId="2" fillId="19" borderId="5" xfId="0" applyNumberFormat="1" applyFont="1" applyFill="1" applyBorder="1" applyAlignment="1">
      <alignment horizontal="right"/>
    </xf>
    <xf numFmtId="3" fontId="2" fillId="25" borderId="5" xfId="0" applyNumberFormat="1" applyFont="1" applyFill="1" applyBorder="1" applyAlignment="1">
      <alignment horizontal="right"/>
    </xf>
    <xf numFmtId="3" fontId="2" fillId="26" borderId="5" xfId="0" applyNumberFormat="1" applyFont="1" applyFill="1" applyBorder="1" applyAlignment="1">
      <alignment horizontal="right"/>
    </xf>
    <xf numFmtId="3" fontId="2" fillId="27" borderId="5" xfId="0" applyNumberFormat="1" applyFont="1" applyFill="1" applyBorder="1" applyAlignment="1">
      <alignment horizontal="right"/>
    </xf>
    <xf numFmtId="3" fontId="2" fillId="28" borderId="5" xfId="0" applyNumberFormat="1" applyFont="1" applyFill="1" applyBorder="1" applyAlignment="1">
      <alignment horizontal="right"/>
    </xf>
    <xf numFmtId="3" fontId="2" fillId="29" borderId="5" xfId="0" applyNumberFormat="1" applyFont="1" applyFill="1" applyBorder="1" applyAlignment="1">
      <alignment horizontal="right"/>
    </xf>
    <xf numFmtId="3" fontId="2" fillId="30" borderId="5" xfId="0" applyNumberFormat="1" applyFont="1" applyFill="1" applyBorder="1" applyAlignment="1">
      <alignment horizontal="right"/>
    </xf>
    <xf numFmtId="3" fontId="2" fillId="37" borderId="5" xfId="0" applyNumberFormat="1" applyFont="1" applyFill="1" applyBorder="1" applyAlignment="1">
      <alignment horizontal="right"/>
    </xf>
    <xf numFmtId="3" fontId="2" fillId="38" borderId="5" xfId="0" applyNumberFormat="1" applyFont="1" applyFill="1" applyBorder="1" applyAlignment="1">
      <alignment horizontal="right"/>
    </xf>
    <xf numFmtId="3" fontId="2" fillId="40" borderId="5" xfId="0" applyNumberFormat="1" applyFont="1" applyFill="1" applyBorder="1" applyAlignment="1">
      <alignment horizontal="right"/>
    </xf>
    <xf numFmtId="3" fontId="2" fillId="41" borderId="5" xfId="0" applyNumberFormat="1" applyFont="1" applyFill="1" applyBorder="1" applyAlignment="1">
      <alignment horizontal="right"/>
    </xf>
    <xf numFmtId="3" fontId="2" fillId="42" borderId="5" xfId="0" applyNumberFormat="1" applyFont="1" applyFill="1" applyBorder="1" applyAlignment="1">
      <alignment horizontal="right"/>
    </xf>
    <xf numFmtId="3" fontId="2" fillId="43" borderId="5" xfId="0" applyNumberFormat="1" applyFont="1" applyFill="1" applyBorder="1" applyAlignment="1">
      <alignment horizontal="right"/>
    </xf>
    <xf numFmtId="3" fontId="2" fillId="44" borderId="5" xfId="0" applyNumberFormat="1" applyFont="1" applyFill="1" applyBorder="1" applyAlignment="1">
      <alignment horizontal="right"/>
    </xf>
    <xf numFmtId="3" fontId="2" fillId="48" borderId="5" xfId="0" applyNumberFormat="1" applyFont="1" applyFill="1" applyBorder="1" applyAlignment="1">
      <alignment horizontal="right"/>
    </xf>
    <xf numFmtId="3" fontId="2" fillId="50" borderId="5" xfId="0" applyNumberFormat="1" applyFont="1" applyFill="1" applyBorder="1" applyAlignment="1">
      <alignment horizontal="right"/>
    </xf>
    <xf numFmtId="3" fontId="2" fillId="52" borderId="5" xfId="0" applyNumberFormat="1" applyFont="1" applyFill="1" applyBorder="1" applyAlignment="1">
      <alignment horizontal="right"/>
    </xf>
    <xf numFmtId="3" fontId="2" fillId="64" borderId="5" xfId="0" applyNumberFormat="1" applyFont="1" applyFill="1" applyBorder="1" applyAlignment="1">
      <alignment horizontal="right"/>
    </xf>
    <xf numFmtId="3" fontId="2" fillId="69" borderId="5" xfId="0" applyNumberFormat="1" applyFont="1" applyFill="1" applyBorder="1" applyAlignment="1">
      <alignment horizontal="right"/>
    </xf>
    <xf numFmtId="3" fontId="2" fillId="70" borderId="5" xfId="0" applyNumberFormat="1" applyFont="1" applyFill="1" applyBorder="1" applyAlignment="1">
      <alignment horizontal="right"/>
    </xf>
    <xf numFmtId="3" fontId="2" fillId="71" borderId="5" xfId="0" applyNumberFormat="1" applyFont="1" applyFill="1" applyBorder="1" applyAlignment="1">
      <alignment horizontal="right"/>
    </xf>
    <xf numFmtId="3" fontId="2" fillId="73" borderId="5" xfId="0" applyNumberFormat="1" applyFont="1" applyFill="1" applyBorder="1" applyAlignment="1">
      <alignment horizontal="right"/>
    </xf>
    <xf numFmtId="3" fontId="2" fillId="74" borderId="5" xfId="0" applyNumberFormat="1" applyFont="1" applyFill="1" applyBorder="1" applyAlignment="1">
      <alignment horizontal="right"/>
    </xf>
    <xf numFmtId="3" fontId="2" fillId="76" borderId="5" xfId="0" applyNumberFormat="1" applyFont="1" applyFill="1" applyBorder="1" applyAlignment="1">
      <alignment horizontal="right"/>
    </xf>
    <xf numFmtId="3" fontId="2" fillId="79" borderId="5" xfId="0" applyNumberFormat="1" applyFont="1" applyFill="1" applyBorder="1" applyAlignment="1">
      <alignment horizontal="right"/>
    </xf>
    <xf numFmtId="3" fontId="2" fillId="80" borderId="5" xfId="0" applyNumberFormat="1" applyFont="1" applyFill="1" applyBorder="1" applyAlignment="1">
      <alignment horizontal="right"/>
    </xf>
    <xf numFmtId="3" fontId="2" fillId="82" borderId="5" xfId="0" applyNumberFormat="1" applyFont="1" applyFill="1" applyBorder="1" applyAlignment="1">
      <alignment horizontal="right"/>
    </xf>
    <xf numFmtId="3" fontId="2" fillId="84" borderId="5" xfId="0" applyNumberFormat="1" applyFont="1" applyFill="1" applyBorder="1" applyAlignment="1">
      <alignment horizontal="right"/>
    </xf>
    <xf numFmtId="3" fontId="2" fillId="86" borderId="5" xfId="0" applyNumberFormat="1" applyFont="1" applyFill="1" applyBorder="1" applyAlignment="1">
      <alignment horizontal="right"/>
    </xf>
    <xf numFmtId="3" fontId="2" fillId="87" borderId="5" xfId="0" applyNumberFormat="1" applyFont="1" applyFill="1" applyBorder="1" applyAlignment="1">
      <alignment horizontal="right"/>
    </xf>
    <xf numFmtId="3" fontId="2" fillId="89" borderId="5" xfId="0" applyNumberFormat="1" applyFont="1" applyFill="1" applyBorder="1" applyAlignment="1">
      <alignment horizontal="right"/>
    </xf>
    <xf numFmtId="3" fontId="2" fillId="90" borderId="5" xfId="0" applyNumberFormat="1" applyFont="1" applyFill="1" applyBorder="1" applyAlignment="1">
      <alignment horizontal="right"/>
    </xf>
    <xf numFmtId="3" fontId="2" fillId="91" borderId="5" xfId="0" applyNumberFormat="1" applyFont="1" applyFill="1" applyBorder="1" applyAlignment="1">
      <alignment horizontal="right"/>
    </xf>
    <xf numFmtId="3" fontId="2" fillId="92" borderId="5" xfId="0" applyNumberFormat="1" applyFont="1" applyFill="1" applyBorder="1" applyAlignment="1">
      <alignment horizontal="right"/>
    </xf>
    <xf numFmtId="3" fontId="2" fillId="93" borderId="5" xfId="0" applyNumberFormat="1" applyFont="1" applyFill="1" applyBorder="1" applyAlignment="1">
      <alignment horizontal="right"/>
    </xf>
    <xf numFmtId="0" fontId="3" fillId="94" borderId="5" xfId="0" applyFont="1" applyFill="1" applyBorder="1" applyAlignment="1">
      <alignment wrapText="1"/>
    </xf>
    <xf numFmtId="0" fontId="3" fillId="95" borderId="5" xfId="0" applyFont="1" applyFill="1" applyBorder="1" applyAlignment="1">
      <alignment wrapText="1"/>
    </xf>
    <xf numFmtId="0" fontId="3" fillId="96" borderId="5" xfId="0" applyFont="1" applyFill="1" applyBorder="1" applyAlignment="1">
      <alignment wrapText="1"/>
    </xf>
    <xf numFmtId="0" fontId="3" fillId="97" borderId="5" xfId="0" applyFont="1" applyFill="1" applyBorder="1" applyAlignment="1">
      <alignment wrapText="1"/>
    </xf>
    <xf numFmtId="0" fontId="3" fillId="98" borderId="5" xfId="0" applyFont="1" applyFill="1" applyBorder="1" applyAlignment="1">
      <alignment wrapText="1"/>
    </xf>
    <xf numFmtId="0" fontId="3" fillId="99" borderId="5" xfId="0" applyFont="1" applyFill="1" applyBorder="1" applyAlignment="1">
      <alignment wrapText="1"/>
    </xf>
    <xf numFmtId="0" fontId="3" fillId="100" borderId="5" xfId="0" applyFont="1" applyFill="1" applyBorder="1" applyAlignment="1">
      <alignment wrapText="1"/>
    </xf>
    <xf numFmtId="0" fontId="3" fillId="101" borderId="5" xfId="0" applyFont="1" applyFill="1" applyBorder="1" applyAlignment="1">
      <alignment wrapText="1"/>
    </xf>
    <xf numFmtId="0" fontId="3" fillId="102" borderId="5" xfId="0" applyFont="1" applyFill="1" applyBorder="1" applyAlignment="1">
      <alignment wrapText="1"/>
    </xf>
    <xf numFmtId="0" fontId="3" fillId="103" borderId="5" xfId="0" applyFont="1" applyFill="1" applyBorder="1" applyAlignment="1">
      <alignment wrapText="1"/>
    </xf>
    <xf numFmtId="0" fontId="3" fillId="104" borderId="5" xfId="0" applyFont="1" applyFill="1" applyBorder="1" applyAlignment="1">
      <alignment wrapText="1"/>
    </xf>
    <xf numFmtId="0" fontId="7" fillId="105" borderId="5" xfId="0" applyFont="1" applyFill="1" applyBorder="1" applyAlignment="1">
      <alignment wrapText="1"/>
    </xf>
    <xf numFmtId="0" fontId="0" fillId="2" borderId="0" xfId="0" applyFill="1" applyAlignment="1"/>
    <xf numFmtId="0" fontId="2" fillId="2" borderId="5" xfId="0" applyFont="1" applyFill="1" applyBorder="1" applyAlignment="1">
      <alignment horizontal="right"/>
    </xf>
    <xf numFmtId="49" fontId="2" fillId="85" borderId="5" xfId="0" applyNumberFormat="1" applyFont="1" applyFill="1" applyBorder="1" applyAlignment="1">
      <alignment horizontal="right" wrapText="1"/>
    </xf>
    <xf numFmtId="2" fontId="2" fillId="3" borderId="5" xfId="0" applyNumberFormat="1" applyFont="1" applyFill="1" applyBorder="1" applyAlignment="1">
      <alignment horizontal="right" wrapText="1"/>
    </xf>
    <xf numFmtId="0" fontId="2" fillId="3" borderId="5" xfId="0" applyNumberFormat="1" applyFont="1" applyFill="1" applyBorder="1" applyAlignment="1">
      <alignment horizontal="right" wrapText="1"/>
    </xf>
    <xf numFmtId="0" fontId="0" fillId="0" borderId="3" xfId="0" applyFill="1" applyBorder="1" applyAlignment="1"/>
    <xf numFmtId="0" fontId="3" fillId="106" borderId="5" xfId="0" applyFont="1" applyFill="1" applyBorder="1" applyAlignment="1">
      <alignment wrapText="1"/>
    </xf>
    <xf numFmtId="0" fontId="5" fillId="106" borderId="5" xfId="0" applyFont="1" applyFill="1" applyBorder="1" applyAlignment="1">
      <alignment horizontal="right" wrapText="1"/>
    </xf>
    <xf numFmtId="0" fontId="2" fillId="106" borderId="5" xfId="0" applyFont="1" applyFill="1" applyBorder="1" applyAlignment="1">
      <alignment horizontal="right" wrapText="1"/>
    </xf>
    <xf numFmtId="0" fontId="4" fillId="106" borderId="5" xfId="0" applyFont="1" applyFill="1" applyBorder="1" applyAlignment="1">
      <alignment horizontal="right" wrapText="1"/>
    </xf>
    <xf numFmtId="1" fontId="0" fillId="0" borderId="0" xfId="0" applyNumberFormat="1"/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" fontId="2" fillId="3" borderId="5" xfId="0" applyNumberFormat="1" applyFont="1" applyFill="1" applyBorder="1" applyAlignment="1">
      <alignment horizontal="righ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palette">
        <xsd:complexType>
          <xsd:sequence minOccurs="0">
            <xsd:element minOccurs="0" maxOccurs="unbounded" nillable="true" name="color" form="unqualified">
              <xsd:complexType>
                <xsd:sequence minOccurs="0">
                  <xsd:element minOccurs="0" nillable="true" type="xsd:integer" name="r" form="unqualified"/>
                  <xsd:element minOccurs="0" nillable="true" type="xsd:integer" name="g" form="unqualified"/>
                  <xsd:element minOccurs="0" nillable="true" type="xsd:integer" name="b" form="unqualified"/>
                  <xsd:element minOccurs="0" nillable="true" type="xsd:string" name="name" form="unqualified"/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palette">
        <xsd:complexType>
          <xsd:sequence minOccurs="0">
            <xsd:element minOccurs="0" maxOccurs="unbounded" nillable="true" name="color" form="unqualified">
              <xsd:complexType>
                <xsd:sequence minOccurs="0">
                  <xsd:element minOccurs="0" nillable="true" type="xsd:integer" name="r" form="unqualified"/>
                  <xsd:element minOccurs="0" nillable="true" type="xsd:integer" name="g" form="unqualified"/>
                  <xsd:element minOccurs="0" nillable="true" type="xsd:integer" name="b" form="unqualified"/>
                  <xsd:element minOccurs="0" nillable="true" type="xsd:string" name="name" form="unqualified"/>
                </xsd:sequence>
              </xsd:complexType>
            </xsd:element>
          </xsd:sequence>
        </xsd:complexType>
      </xsd:element>
    </xsd:schema>
  </Schema>
  <Map ID="1" Name="palette_Map" RootElement="palette" SchemaID="Schema1" ShowImportExportValidationErrors="false" AutoFit="true" Append="false" PreserveSortAFLayout="true" PreserveFormat="true">
    <DataBinding FileBinding="true" ConnectionID="1" DataBindingLoadMode="1"/>
  </Map>
  <Map ID="3" Name="palette_Map1" RootElement="palette" SchemaID="Schema3" ShowImportExportValidationErrors="false" AutoFit="true" Append="false" PreserveSortAFLayout="true" PreserveFormat="true">
    <DataBinding FileBinding="true" ConnectionID="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3"/>
  <sheetViews>
    <sheetView tabSelected="1" zoomScaleNormal="100" workbookViewId="0">
      <selection activeCell="I21" sqref="I21"/>
    </sheetView>
  </sheetViews>
  <sheetFormatPr defaultRowHeight="15" x14ac:dyDescent="0.25"/>
  <cols>
    <col min="1" max="1" width="10.7109375" customWidth="1"/>
    <col min="2" max="9" width="19.28515625" customWidth="1"/>
    <col min="12" max="12" width="8.7109375" style="1"/>
    <col min="13" max="13" width="19.42578125" style="105" customWidth="1"/>
    <col min="14" max="14" width="8.42578125" style="249" customWidth="1"/>
    <col min="15" max="15" width="5.7109375" style="249" customWidth="1"/>
    <col min="16" max="16" width="6.5703125" style="249" customWidth="1"/>
    <col min="17" max="17" width="18.7109375" style="105" customWidth="1"/>
  </cols>
  <sheetData>
    <row r="1" spans="1:23" ht="14.65" x14ac:dyDescent="0.35">
      <c r="A1" s="2" t="s">
        <v>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U1" t="s">
        <v>340</v>
      </c>
    </row>
    <row r="2" spans="1:23" ht="15.75" thickBot="1" x14ac:dyDescent="0.3">
      <c r="A2" s="260">
        <v>1</v>
      </c>
      <c r="B2" s="3">
        <v>17</v>
      </c>
      <c r="C2" s="3">
        <v>16</v>
      </c>
      <c r="D2" s="3">
        <v>10</v>
      </c>
      <c r="E2" s="3">
        <v>8</v>
      </c>
      <c r="F2" s="3">
        <v>6</v>
      </c>
      <c r="G2" s="3">
        <v>3</v>
      </c>
      <c r="H2" s="3">
        <v>63</v>
      </c>
      <c r="I2" s="3">
        <v>62</v>
      </c>
      <c r="U2">
        <v>106</v>
      </c>
      <c r="V2">
        <v>189</v>
      </c>
      <c r="W2">
        <v>164</v>
      </c>
    </row>
    <row r="3" spans="1:23" ht="15.75" thickBot="1" x14ac:dyDescent="0.3">
      <c r="A3" s="261"/>
      <c r="B3" s="3">
        <v>81</v>
      </c>
      <c r="C3" s="3">
        <v>8</v>
      </c>
      <c r="D3" s="3">
        <v>18</v>
      </c>
      <c r="E3" s="3">
        <v>1</v>
      </c>
      <c r="F3" s="3">
        <v>3</v>
      </c>
      <c r="G3" s="3">
        <v>4</v>
      </c>
      <c r="H3" s="3">
        <v>62</v>
      </c>
      <c r="I3" s="3">
        <v>38</v>
      </c>
      <c r="K3" s="6" t="s">
        <v>1</v>
      </c>
      <c r="L3" s="253">
        <v>1</v>
      </c>
      <c r="M3" s="106" t="s">
        <v>2</v>
      </c>
      <c r="N3" s="250">
        <f>HEX2DEC(LEFT(R3,2))</f>
        <v>247</v>
      </c>
      <c r="O3" s="250">
        <f>HEX2DEC(MID(R3,3,2))</f>
        <v>247</v>
      </c>
      <c r="P3" s="250">
        <f>HEX2DEC(RIGHT(R3,2))</f>
        <v>242</v>
      </c>
      <c r="Q3" s="106" t="s">
        <v>3</v>
      </c>
      <c r="R3" s="6" t="s">
        <v>4</v>
      </c>
      <c r="S3" s="6" t="s">
        <v>5</v>
      </c>
      <c r="T3" s="255"/>
      <c r="U3" s="259">
        <f>SQRT(($U$2-N3)^2+($V$2-O3)^2+($W$2-P3)^2)</f>
        <v>171.25711664044798</v>
      </c>
      <c r="V3" s="259">
        <f>SQRT((2+(($U$2+N3)/2)/256)*($U$2-N3)^2 + 4*($V$2-O3)^2 + (2+(255-(($U$2+N3)/2))/256)*($W$2-P3)^2)</f>
        <v>284.53228136825703</v>
      </c>
    </row>
    <row r="4" spans="1:23" ht="15.75" thickBot="1" x14ac:dyDescent="0.3">
      <c r="A4" s="261"/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K4" s="6"/>
      <c r="L4" s="253"/>
      <c r="M4" s="106"/>
      <c r="N4" s="250"/>
      <c r="O4" s="250"/>
      <c r="P4" s="250"/>
      <c r="Q4" s="106"/>
      <c r="R4" s="6"/>
      <c r="S4" s="6"/>
      <c r="T4" s="255"/>
      <c r="U4" s="259"/>
      <c r="V4" s="259"/>
    </row>
    <row r="5" spans="1:23" ht="15.75" thickBot="1" x14ac:dyDescent="0.3">
      <c r="A5" s="262"/>
      <c r="B5" s="3" t="str">
        <f>IF(B3&lt;&gt;"",VLOOKUP(B3,$L$3:$M$133,2,FALSE),"")</f>
        <v>Light Gray</v>
      </c>
      <c r="C5" s="3" t="str">
        <f>IF(C3&lt;&gt;"",VLOOKUP(C3,$L$3:$M$133,2,FALSE),"")</f>
        <v>Dark Blue</v>
      </c>
      <c r="D5" s="3" t="str">
        <f>IF(D3&lt;&gt;"",VLOOKUP(D3,$L$3:$M$133,2,FALSE),"")</f>
        <v>Black</v>
      </c>
      <c r="E5" s="3" t="str">
        <f>IF(E3&lt;&gt;"",VLOOKUP(E3,$L$3:$M$133,2,FALSE),"")</f>
        <v>White</v>
      </c>
      <c r="F5" s="3" t="str">
        <f>IF(F3&lt;&gt;"",VLOOKUP(F3,$L$3:$M$133,2,FALSE),"")</f>
        <v>Yellow</v>
      </c>
      <c r="G5" s="3" t="str">
        <f t="shared" ref="G5" si="0">IF(G3&lt;&gt;"",VLOOKUP(G3,$L$3:$M$133,2,FALSE),"")</f>
        <v>Orange</v>
      </c>
      <c r="H5" s="3" t="str">
        <f t="shared" ref="H5" si="1">IF(H3&lt;&gt;"",VLOOKUP(H3,$L$3:$M$133,2,FALSE),"")</f>
        <v>Turquoise</v>
      </c>
      <c r="I5" s="3" t="str">
        <f>IF(I3&lt;&gt;"",VLOOKUP(I3,$L$3:$M$133,2,FALSE),"")</f>
        <v>Magenta</v>
      </c>
      <c r="K5" s="8" t="s">
        <v>6</v>
      </c>
      <c r="L5" s="253">
        <v>81</v>
      </c>
      <c r="M5" s="107" t="s">
        <v>7</v>
      </c>
      <c r="N5" s="250">
        <f t="shared" ref="N5:N38" si="2">HEX2DEC(LEFT(R5,2))</f>
        <v>190</v>
      </c>
      <c r="O5" s="250">
        <f t="shared" ref="O5:O38" si="3">HEX2DEC(MID(R5,3,2))</f>
        <v>195</v>
      </c>
      <c r="P5" s="250">
        <f t="shared" ref="P5:P38" si="4">HEX2DEC(RIGHT(R5,2))</f>
        <v>191</v>
      </c>
      <c r="Q5" s="107" t="s">
        <v>8</v>
      </c>
      <c r="R5" s="8" t="s">
        <v>9</v>
      </c>
      <c r="S5" s="8" t="s">
        <v>5</v>
      </c>
      <c r="T5" s="255"/>
      <c r="U5" s="259">
        <f t="shared" ref="U5:U75" si="5">SQRT(($U$2-N5)^2+($V$2-O5)^2+($W$2-P5)^2)</f>
        <v>88.436417837902056</v>
      </c>
      <c r="V5" s="259">
        <f t="shared" ref="V5:V75" si="6">SQRT((2+(($U$2+N5)/2)/256)*($U$2-N5)^2 + 4*($V$2-O5)^2 + (2+(255-(($U$2+N5)/2))/256)*($W$2-P5)^2)</f>
        <v>141.76723605526772</v>
      </c>
    </row>
    <row r="6" spans="1:23" ht="15.75" thickBot="1" x14ac:dyDescent="0.3">
      <c r="A6" s="260">
        <v>2</v>
      </c>
      <c r="B6" s="4">
        <v>19</v>
      </c>
      <c r="C6" s="4">
        <v>18</v>
      </c>
      <c r="D6" s="4">
        <v>11</v>
      </c>
      <c r="E6" s="4">
        <v>9</v>
      </c>
      <c r="F6" s="4">
        <v>5</v>
      </c>
      <c r="G6" s="4">
        <v>4</v>
      </c>
      <c r="H6" s="4">
        <v>60</v>
      </c>
      <c r="I6" s="4">
        <v>61</v>
      </c>
      <c r="K6" s="9" t="s">
        <v>10</v>
      </c>
      <c r="L6" s="253">
        <v>17</v>
      </c>
      <c r="M6" s="108" t="s">
        <v>11</v>
      </c>
      <c r="N6" s="250">
        <f t="shared" si="2"/>
        <v>150</v>
      </c>
      <c r="O6" s="250">
        <f t="shared" si="3"/>
        <v>152</v>
      </c>
      <c r="P6" s="250">
        <f t="shared" si="4"/>
        <v>156</v>
      </c>
      <c r="Q6" s="108" t="s">
        <v>12</v>
      </c>
      <c r="R6" s="9" t="s">
        <v>13</v>
      </c>
      <c r="S6" s="9" t="s">
        <v>5</v>
      </c>
      <c r="T6" s="255"/>
      <c r="U6" s="259">
        <f t="shared" si="5"/>
        <v>58.043087443725803</v>
      </c>
      <c r="V6" s="259">
        <f t="shared" si="6"/>
        <v>102.35111137647701</v>
      </c>
    </row>
    <row r="7" spans="1:23" ht="15.75" thickBot="1" x14ac:dyDescent="0.3">
      <c r="A7" s="261"/>
      <c r="B7" s="4">
        <v>59</v>
      </c>
      <c r="C7" s="4">
        <v>17</v>
      </c>
      <c r="D7" s="4">
        <v>18</v>
      </c>
      <c r="E7" s="4">
        <v>1</v>
      </c>
      <c r="F7" s="4">
        <v>10</v>
      </c>
      <c r="G7" s="4">
        <v>5</v>
      </c>
      <c r="H7" s="4">
        <v>7</v>
      </c>
      <c r="I7" s="4">
        <v>91</v>
      </c>
      <c r="K7" s="10" t="s">
        <v>14</v>
      </c>
      <c r="L7" s="253">
        <v>206</v>
      </c>
      <c r="M7" s="109" t="s">
        <v>15</v>
      </c>
      <c r="N7" s="250">
        <f t="shared" si="2"/>
        <v>147</v>
      </c>
      <c r="O7" s="250">
        <f t="shared" si="3"/>
        <v>161</v>
      </c>
      <c r="P7" s="250">
        <f t="shared" si="4"/>
        <v>159</v>
      </c>
      <c r="Q7" s="109" t="s">
        <v>16</v>
      </c>
      <c r="R7" s="10" t="s">
        <v>17</v>
      </c>
      <c r="S7" s="10" t="s">
        <v>5</v>
      </c>
      <c r="T7" s="255"/>
      <c r="U7" s="259">
        <f t="shared" si="5"/>
        <v>49.899899799498598</v>
      </c>
      <c r="V7" s="259">
        <f t="shared" si="6"/>
        <v>85.972083950256788</v>
      </c>
    </row>
    <row r="8" spans="1:23" ht="15.75" thickBot="1" x14ac:dyDescent="0.3">
      <c r="A8" s="261"/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K8" s="10"/>
      <c r="L8" s="253"/>
      <c r="M8" s="109"/>
      <c r="N8" s="250"/>
      <c r="O8" s="250"/>
      <c r="P8" s="250"/>
      <c r="Q8" s="109"/>
      <c r="R8" s="10"/>
      <c r="S8" s="10"/>
      <c r="T8" s="255"/>
      <c r="U8" s="259"/>
      <c r="V8" s="259"/>
    </row>
    <row r="9" spans="1:23" ht="15.75" thickBot="1" x14ac:dyDescent="0.3">
      <c r="A9" s="262"/>
      <c r="B9" s="3" t="str">
        <f>IF(B7&lt;&gt;"",VLOOKUP(B7,$L$3:$M$133,2,FALSE),"")</f>
        <v>Hot Coral</v>
      </c>
      <c r="C9" s="3" t="str">
        <f t="shared" ref="C9" si="7">IF(C7&lt;&gt;"",VLOOKUP(C7,$L$3:$M$133,2,FALSE),"")</f>
        <v>Gray</v>
      </c>
      <c r="D9" s="3" t="str">
        <f>IF(D7&lt;&gt;"",VLOOKUP(D7,$L$3:$M$133,2,FALSE),"")</f>
        <v>Black</v>
      </c>
      <c r="E9" s="3" t="str">
        <f t="shared" ref="E9" si="8">IF(E7&lt;&gt;"",VLOOKUP(E7,$L$3:$M$133,2,FALSE),"")</f>
        <v>White</v>
      </c>
      <c r="F9" s="3" t="str">
        <f t="shared" ref="F9" si="9">IF(F7&lt;&gt;"",VLOOKUP(F7,$L$3:$M$133,2,FALSE),"")</f>
        <v>Dark Green</v>
      </c>
      <c r="G9" s="3" t="str">
        <f t="shared" ref="G9" si="10">IF(G7&lt;&gt;"",VLOOKUP(G7,$L$3:$M$133,2,FALSE),"")</f>
        <v>Red</v>
      </c>
      <c r="H9" s="3" t="str">
        <f t="shared" ref="H9" si="11">IF(H7&lt;&gt;"",VLOOKUP(H7,$L$3:$M$133,2,FALSE),"")</f>
        <v>Purple</v>
      </c>
      <c r="I9" s="3" t="str">
        <f>IF(I7&lt;&gt;"",VLOOKUP(I7,$L$3:$M$133,2,FALSE),"")</f>
        <v>Parrot Green</v>
      </c>
      <c r="K9" s="11" t="s">
        <v>18</v>
      </c>
      <c r="L9" s="253">
        <v>207</v>
      </c>
      <c r="M9" s="110" t="s">
        <v>19</v>
      </c>
      <c r="N9" s="250">
        <f t="shared" si="2"/>
        <v>84</v>
      </c>
      <c r="O9" s="250">
        <f t="shared" si="3"/>
        <v>95</v>
      </c>
      <c r="P9" s="250">
        <f t="shared" si="4"/>
        <v>95</v>
      </c>
      <c r="Q9" s="110" t="s">
        <v>20</v>
      </c>
      <c r="R9" s="12" t="s">
        <v>21</v>
      </c>
      <c r="S9" s="11" t="s">
        <v>5</v>
      </c>
      <c r="T9" s="255"/>
      <c r="U9" s="259">
        <f t="shared" si="5"/>
        <v>118.66338946785567</v>
      </c>
      <c r="V9" s="259">
        <f t="shared" si="6"/>
        <v>221.33511780781649</v>
      </c>
    </row>
    <row r="10" spans="1:23" ht="15.75" thickBot="1" x14ac:dyDescent="0.3">
      <c r="A10" s="260">
        <v>3</v>
      </c>
      <c r="B10" s="4">
        <v>21</v>
      </c>
      <c r="C10" s="4">
        <v>20</v>
      </c>
      <c r="D10" s="4">
        <v>14</v>
      </c>
      <c r="E10" s="4">
        <v>13</v>
      </c>
      <c r="F10" s="4">
        <v>2</v>
      </c>
      <c r="G10" s="4">
        <v>1</v>
      </c>
      <c r="H10" s="4">
        <v>59</v>
      </c>
      <c r="I10" s="4">
        <v>57</v>
      </c>
      <c r="K10" s="13" t="s">
        <v>22</v>
      </c>
      <c r="L10" s="253">
        <v>92</v>
      </c>
      <c r="M10" s="111" t="s">
        <v>23</v>
      </c>
      <c r="N10" s="250">
        <f t="shared" si="2"/>
        <v>86</v>
      </c>
      <c r="O10" s="250">
        <f t="shared" si="3"/>
        <v>87</v>
      </c>
      <c r="P10" s="250">
        <f t="shared" si="4"/>
        <v>92</v>
      </c>
      <c r="Q10" s="111" t="s">
        <v>24</v>
      </c>
      <c r="R10" s="14" t="s">
        <v>25</v>
      </c>
      <c r="S10" s="13" t="s">
        <v>5</v>
      </c>
      <c r="T10" s="255"/>
      <c r="U10" s="259">
        <f t="shared" si="5"/>
        <v>126.44366334458995</v>
      </c>
      <c r="V10" s="259">
        <f t="shared" si="6"/>
        <v>236.96782482016414</v>
      </c>
    </row>
    <row r="11" spans="1:23" ht="15.75" thickBot="1" x14ac:dyDescent="0.3">
      <c r="A11" s="261"/>
      <c r="B11" s="4">
        <v>405</v>
      </c>
      <c r="C11" s="4">
        <v>179</v>
      </c>
      <c r="D11" s="4">
        <v>90</v>
      </c>
      <c r="E11" s="4">
        <v>2</v>
      </c>
      <c r="F11" s="4">
        <v>52</v>
      </c>
      <c r="G11" s="4">
        <v>53</v>
      </c>
      <c r="H11" s="4">
        <v>203</v>
      </c>
      <c r="I11" s="4">
        <v>83</v>
      </c>
      <c r="K11" s="15" t="s">
        <v>26</v>
      </c>
      <c r="L11" s="253">
        <v>18</v>
      </c>
      <c r="M11" s="112" t="s">
        <v>27</v>
      </c>
      <c r="N11" s="250">
        <v>30</v>
      </c>
      <c r="O11" s="250">
        <v>30</v>
      </c>
      <c r="P11" s="250">
        <v>30</v>
      </c>
      <c r="Q11" s="112" t="s">
        <v>28</v>
      </c>
      <c r="R11" s="16">
        <v>252525</v>
      </c>
      <c r="S11" s="15" t="s">
        <v>5</v>
      </c>
      <c r="T11" s="255"/>
      <c r="U11" s="259">
        <f t="shared" si="5"/>
        <v>221.38879827127658</v>
      </c>
      <c r="V11" s="259">
        <f t="shared" si="6"/>
        <v>404.02790358464102</v>
      </c>
    </row>
    <row r="12" spans="1:23" ht="15.75" thickBot="1" x14ac:dyDescent="0.3">
      <c r="A12" s="261"/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K12" s="15"/>
      <c r="L12" s="253"/>
      <c r="M12" s="112"/>
      <c r="N12" s="250"/>
      <c r="O12" s="250"/>
      <c r="P12" s="250"/>
      <c r="Q12" s="112"/>
      <c r="R12" s="16"/>
      <c r="S12" s="15"/>
      <c r="T12" s="255"/>
      <c r="U12" s="259"/>
      <c r="V12" s="259"/>
    </row>
    <row r="13" spans="1:23" ht="15.75" thickBot="1" x14ac:dyDescent="0.3">
      <c r="A13" s="262"/>
      <c r="B13" s="3" t="str">
        <f>IF(B11&lt;&gt;"",VLOOKUP(B11,$L$3:$M$133,2,FALSE),"")</f>
        <v>Lagoon</v>
      </c>
      <c r="C13" s="3" t="str">
        <f t="shared" ref="C13" si="12">IF(C11&lt;&gt;"",VLOOKUP(C11,$L$3:$M$133,2,FALSE),"")</f>
        <v>Evergreen</v>
      </c>
      <c r="D13" s="3" t="str">
        <f>IF(D11&lt;&gt;"",VLOOKUP(D11,$L$3:$M$133,2,FALSE),"")</f>
        <v>Butterscotch</v>
      </c>
      <c r="E13" s="3" t="str">
        <f t="shared" ref="E13" si="13">IF(E11&lt;&gt;"",VLOOKUP(E11,$L$3:$M$133,2,FALSE),"")</f>
        <v>Cream</v>
      </c>
      <c r="F13" s="3" t="str">
        <f t="shared" ref="F13" si="14">IF(F11&lt;&gt;"",VLOOKUP(F11,$L$3:$M$133,2,FALSE),"")</f>
        <v>Pastel Blue</v>
      </c>
      <c r="G13" s="3" t="str">
        <f t="shared" ref="G13" si="15">IF(G11&lt;&gt;"",VLOOKUP(G11,$L$3:$M$133,2,FALSE),"")</f>
        <v>Pastel Green</v>
      </c>
      <c r="H13" s="3" t="str">
        <f t="shared" ref="H13" si="16">IF(H11&lt;&gt;"",VLOOKUP(H11,$L$3:$M$133,2,FALSE),"")</f>
        <v>Salmon</v>
      </c>
      <c r="I13" s="3" t="str">
        <f>IF(I11&lt;&gt;"",VLOOKUP(I11,$L$3:$M$133,2,FALSE),"")</f>
        <v>Pink</v>
      </c>
      <c r="K13" s="7"/>
      <c r="L13" s="252"/>
      <c r="M13" s="113"/>
      <c r="N13" s="250">
        <f t="shared" si="2"/>
        <v>0</v>
      </c>
      <c r="O13" s="250">
        <f t="shared" si="3"/>
        <v>0</v>
      </c>
      <c r="P13" s="250">
        <f t="shared" si="4"/>
        <v>0</v>
      </c>
      <c r="Q13" s="113"/>
      <c r="R13" s="7"/>
      <c r="S13" s="7"/>
      <c r="T13" s="255"/>
      <c r="U13" s="259">
        <f t="shared" si="5"/>
        <v>271.75908448476935</v>
      </c>
      <c r="V13" s="259">
        <f t="shared" si="6"/>
        <v>492.64269823574978</v>
      </c>
    </row>
    <row r="14" spans="1:23" ht="15.75" thickBot="1" x14ac:dyDescent="0.3">
      <c r="A14" s="260">
        <v>4</v>
      </c>
      <c r="B14" s="4">
        <v>22</v>
      </c>
      <c r="C14" s="4">
        <v>23</v>
      </c>
      <c r="D14" s="4">
        <v>15</v>
      </c>
      <c r="E14" s="4">
        <v>12</v>
      </c>
      <c r="F14" s="4">
        <v>7</v>
      </c>
      <c r="G14" s="4">
        <v>0</v>
      </c>
      <c r="H14" s="4">
        <v>58</v>
      </c>
      <c r="I14" s="4">
        <v>56</v>
      </c>
      <c r="K14" s="17" t="s">
        <v>29</v>
      </c>
      <c r="L14" s="253">
        <v>208</v>
      </c>
      <c r="M14" s="114" t="s">
        <v>30</v>
      </c>
      <c r="N14" s="250">
        <f t="shared" si="2"/>
        <v>241</v>
      </c>
      <c r="O14" s="250">
        <f t="shared" si="3"/>
        <v>229</v>
      </c>
      <c r="P14" s="250">
        <f t="shared" si="4"/>
        <v>216</v>
      </c>
      <c r="Q14" s="197">
        <v>241229216</v>
      </c>
      <c r="R14" s="17" t="s">
        <v>31</v>
      </c>
      <c r="S14" s="17" t="s">
        <v>5</v>
      </c>
      <c r="T14" s="255"/>
      <c r="U14" s="259">
        <f t="shared" si="5"/>
        <v>150.09663553857561</v>
      </c>
      <c r="V14" s="259">
        <f t="shared" si="6"/>
        <v>247.93255682619619</v>
      </c>
    </row>
    <row r="15" spans="1:23" ht="15.75" thickBot="1" x14ac:dyDescent="0.3">
      <c r="A15" s="261"/>
      <c r="B15" s="4">
        <v>97</v>
      </c>
      <c r="C15" s="4">
        <v>85</v>
      </c>
      <c r="D15" s="4">
        <v>33</v>
      </c>
      <c r="E15" s="4">
        <v>79</v>
      </c>
      <c r="F15" s="4">
        <v>997</v>
      </c>
      <c r="G15" s="4">
        <v>63</v>
      </c>
      <c r="H15" s="4">
        <v>96</v>
      </c>
      <c r="I15" s="4">
        <v>208</v>
      </c>
      <c r="K15" s="18" t="s">
        <v>32</v>
      </c>
      <c r="L15" s="253">
        <v>98</v>
      </c>
      <c r="M15" s="115" t="s">
        <v>33</v>
      </c>
      <c r="N15" s="250">
        <f t="shared" si="2"/>
        <v>234</v>
      </c>
      <c r="O15" s="250">
        <f t="shared" si="3"/>
        <v>196</v>
      </c>
      <c r="P15" s="250">
        <f t="shared" si="4"/>
        <v>159</v>
      </c>
      <c r="Q15" s="198">
        <v>234196159</v>
      </c>
      <c r="R15" s="18" t="s">
        <v>34</v>
      </c>
      <c r="S15" s="18" t="s">
        <v>5</v>
      </c>
      <c r="T15" s="255"/>
      <c r="U15" s="259">
        <f t="shared" si="5"/>
        <v>128.28873683998918</v>
      </c>
      <c r="V15" s="259">
        <f t="shared" si="6"/>
        <v>209.5287588405229</v>
      </c>
    </row>
    <row r="16" spans="1:23" ht="15.75" thickBot="1" x14ac:dyDescent="0.3">
      <c r="A16" s="261"/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K16" s="18"/>
      <c r="L16" s="253"/>
      <c r="M16" s="115"/>
      <c r="N16" s="250"/>
      <c r="O16" s="250"/>
      <c r="P16" s="250"/>
      <c r="Q16" s="198"/>
      <c r="R16" s="18"/>
      <c r="S16" s="18"/>
      <c r="T16" s="255"/>
      <c r="U16" s="259"/>
      <c r="V16" s="259"/>
    </row>
    <row r="17" spans="1:22" ht="15.75" thickBot="1" x14ac:dyDescent="0.3">
      <c r="A17" s="262"/>
      <c r="B17" s="3" t="str">
        <f>IF(B15&lt;&gt;"",VLOOKUP(B15,$L$3:$M$133,2,FALSE),"")</f>
        <v>Prickly Pear</v>
      </c>
      <c r="C17" s="3" t="str">
        <f t="shared" ref="C17" si="17">IF(C15&lt;&gt;"",VLOOKUP(C15,$L$3:$M$133,2,FALSE),"")</f>
        <v>Gold</v>
      </c>
      <c r="D17" s="3" t="str">
        <f>IF(D15&lt;&gt;"",VLOOKUP(D15,$L$3:$M$133,2,FALSE),"")</f>
        <v>Peach</v>
      </c>
      <c r="E17" s="3" t="str">
        <f t="shared" ref="E17" si="18">IF(E15&lt;&gt;"",VLOOKUP(E15,$L$3:$M$133,2,FALSE),"")</f>
        <v>Light Pink</v>
      </c>
      <c r="F17" s="3" t="str">
        <f t="shared" ref="F17" si="19">IF(F15&lt;&gt;"",VLOOKUP(F15,$L$3:$M$133,2,FALSE),"")</f>
        <v>Glow Green</v>
      </c>
      <c r="G17" s="3" t="str">
        <f t="shared" ref="G17" si="20">IF(G15&lt;&gt;"",VLOOKUP(G15,$L$3:$M$133,2,FALSE),"")</f>
        <v>Blush</v>
      </c>
      <c r="H17" s="3" t="str">
        <f t="shared" ref="H17" si="21">IF(H15&lt;&gt;"",VLOOKUP(H15,$L$3:$M$133,2,FALSE),"")</f>
        <v>Cranapple</v>
      </c>
      <c r="I17" s="3" t="str">
        <f>IF(I15&lt;&gt;"",VLOOKUP(I15,$L$3:$M$133,2,FALSE),"")</f>
        <v>Toasted Marshmallow</v>
      </c>
      <c r="K17" s="19" t="s">
        <v>35</v>
      </c>
      <c r="L17" s="253">
        <v>205</v>
      </c>
      <c r="M17" s="116" t="s">
        <v>36</v>
      </c>
      <c r="N17" s="250">
        <f t="shared" si="2"/>
        <v>215</v>
      </c>
      <c r="O17" s="250">
        <f t="shared" si="3"/>
        <v>176</v>
      </c>
      <c r="P17" s="250">
        <f t="shared" si="4"/>
        <v>135</v>
      </c>
      <c r="Q17" s="199">
        <v>215176135</v>
      </c>
      <c r="R17" s="19" t="s">
        <v>37</v>
      </c>
      <c r="S17" s="19" t="s">
        <v>5</v>
      </c>
      <c r="T17" s="255"/>
      <c r="U17" s="259">
        <f t="shared" si="5"/>
        <v>113.53853971229329</v>
      </c>
      <c r="V17" s="259">
        <f t="shared" si="6"/>
        <v>184.06324278288156</v>
      </c>
    </row>
    <row r="18" spans="1:22" ht="15.75" thickBot="1" x14ac:dyDescent="0.3">
      <c r="A18" s="260">
        <v>5</v>
      </c>
      <c r="B18" s="4">
        <v>24</v>
      </c>
      <c r="C18" s="4">
        <v>25</v>
      </c>
      <c r="D18" s="4">
        <v>32</v>
      </c>
      <c r="E18" s="4">
        <v>33</v>
      </c>
      <c r="F18" s="4">
        <v>46</v>
      </c>
      <c r="G18" s="4">
        <v>47</v>
      </c>
      <c r="H18" s="4">
        <v>55</v>
      </c>
      <c r="I18" s="4">
        <v>54</v>
      </c>
      <c r="K18" s="20" t="s">
        <v>38</v>
      </c>
      <c r="L18" s="253">
        <v>35</v>
      </c>
      <c r="M18" s="117" t="s">
        <v>39</v>
      </c>
      <c r="N18" s="250">
        <f t="shared" si="2"/>
        <v>207</v>
      </c>
      <c r="O18" s="250">
        <f t="shared" si="3"/>
        <v>168</v>
      </c>
      <c r="P18" s="250">
        <f t="shared" si="4"/>
        <v>137</v>
      </c>
      <c r="Q18" s="200">
        <v>207168137</v>
      </c>
      <c r="R18" s="20" t="s">
        <v>40</v>
      </c>
      <c r="S18" s="20" t="s">
        <v>5</v>
      </c>
      <c r="T18" s="255"/>
      <c r="U18" s="259">
        <f t="shared" si="5"/>
        <v>106.63489110042735</v>
      </c>
      <c r="V18" s="259">
        <f t="shared" si="6"/>
        <v>173.6106343049008</v>
      </c>
    </row>
    <row r="19" spans="1:22" ht="15.75" thickBot="1" x14ac:dyDescent="0.3">
      <c r="A19" s="261"/>
      <c r="B19" s="4">
        <v>82</v>
      </c>
      <c r="C19" s="4">
        <v>998</v>
      </c>
      <c r="D19" s="4">
        <v>21</v>
      </c>
      <c r="E19" s="4">
        <v>56</v>
      </c>
      <c r="F19" s="4">
        <v>70</v>
      </c>
      <c r="G19" s="4">
        <v>12</v>
      </c>
      <c r="H19" s="4">
        <v>93</v>
      </c>
      <c r="I19" s="4">
        <v>202</v>
      </c>
      <c r="K19" s="21" t="s">
        <v>41</v>
      </c>
      <c r="L19" s="253">
        <v>20</v>
      </c>
      <c r="M19" s="118" t="s">
        <v>42</v>
      </c>
      <c r="N19" s="250">
        <f t="shared" si="2"/>
        <v>160</v>
      </c>
      <c r="O19" s="250">
        <f t="shared" si="3"/>
        <v>78</v>
      </c>
      <c r="P19" s="250">
        <f t="shared" si="4"/>
        <v>63</v>
      </c>
      <c r="Q19" s="118" t="s">
        <v>43</v>
      </c>
      <c r="R19" s="22" t="s">
        <v>44</v>
      </c>
      <c r="S19" s="21" t="s">
        <v>5</v>
      </c>
      <c r="T19" s="255"/>
      <c r="U19" s="259">
        <f t="shared" si="5"/>
        <v>159.49294655250432</v>
      </c>
      <c r="V19" s="259">
        <f t="shared" si="6"/>
        <v>286.17191893597806</v>
      </c>
    </row>
    <row r="20" spans="1:22" ht="15.75" thickBot="1" x14ac:dyDescent="0.3">
      <c r="A20" s="261"/>
      <c r="B20" s="3">
        <v>0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K20" s="21"/>
      <c r="L20" s="253"/>
      <c r="M20" s="118"/>
      <c r="N20" s="250"/>
      <c r="O20" s="250"/>
      <c r="P20" s="250"/>
      <c r="Q20" s="118"/>
      <c r="R20" s="22"/>
      <c r="S20" s="21"/>
      <c r="T20" s="255"/>
      <c r="U20" s="259"/>
      <c r="V20" s="259"/>
    </row>
    <row r="21" spans="1:22" ht="15.75" thickBot="1" x14ac:dyDescent="0.3">
      <c r="A21" s="262"/>
      <c r="B21" s="3" t="str">
        <f>IF(B19&lt;&gt;"",VLOOKUP(B19,$L$3:$M$133,2,FALSE),"")</f>
        <v>Light Lavender</v>
      </c>
      <c r="C21" s="3" t="str">
        <f>IF(C19&lt;&gt;"",VLOOKUP(C19,$L$3:$M$133,2,FALSE),"")</f>
        <v>CLEAR</v>
      </c>
      <c r="D21" s="3" t="str">
        <f>IF(D19&lt;&gt;"",VLOOKUP(D19,$L$3:$M$133,2,FALSE),"")</f>
        <v>Light Brown</v>
      </c>
      <c r="E21" s="3" t="str">
        <f t="shared" ref="E21" si="22">IF(E19&lt;&gt;"",VLOOKUP(E19,$L$3:$M$133,2,FALSE),"")</f>
        <v>Pastel Yellow</v>
      </c>
      <c r="F21" s="3" t="str">
        <f t="shared" ref="F21" si="23">IF(F19&lt;&gt;"",VLOOKUP(F19,$L$3:$M$133,2,FALSE),"")</f>
        <v>Periwinkle</v>
      </c>
      <c r="G21" s="3" t="str">
        <f t="shared" ref="G21" si="24">IF(G19&lt;&gt;"",VLOOKUP(G19,$L$3:$M$133,2,FALSE),"")</f>
        <v>Brown</v>
      </c>
      <c r="H21" s="3" t="str">
        <f t="shared" ref="H21" si="25">IF(H19&lt;&gt;"",VLOOKUP(H19,$L$3:$M$133,2,FALSE),"")</f>
        <v>Blueberry Crème</v>
      </c>
      <c r="I21" s="3" t="str">
        <f>IF(I19&lt;&gt;"",VLOOKUP(I19,$L$3:$M$133,2,FALSE),"")</f>
        <v>Robin's Egg</v>
      </c>
      <c r="K21" s="23" t="s">
        <v>45</v>
      </c>
      <c r="L21" s="253">
        <v>96</v>
      </c>
      <c r="M21" s="119" t="s">
        <v>46</v>
      </c>
      <c r="N21" s="250">
        <f t="shared" si="2"/>
        <v>136</v>
      </c>
      <c r="O21" s="250">
        <f t="shared" si="3"/>
        <v>64</v>
      </c>
      <c r="P21" s="250">
        <f t="shared" si="4"/>
        <v>79</v>
      </c>
      <c r="Q21" s="119" t="s">
        <v>47</v>
      </c>
      <c r="R21" s="24" t="s">
        <v>48</v>
      </c>
      <c r="S21" s="23" t="s">
        <v>5</v>
      </c>
      <c r="T21" s="255"/>
      <c r="U21" s="259">
        <f t="shared" si="5"/>
        <v>154.11035007422441</v>
      </c>
      <c r="V21" s="259">
        <f t="shared" si="6"/>
        <v>288.02296186675812</v>
      </c>
    </row>
    <row r="22" spans="1:22" ht="15.75" thickBot="1" x14ac:dyDescent="0.3">
      <c r="A22" s="260">
        <v>6</v>
      </c>
      <c r="B22" s="4">
        <v>26</v>
      </c>
      <c r="C22" s="4">
        <v>27</v>
      </c>
      <c r="D22" s="4">
        <v>34</v>
      </c>
      <c r="E22" s="4">
        <v>35</v>
      </c>
      <c r="F22" s="4">
        <v>45</v>
      </c>
      <c r="G22" s="4">
        <v>44</v>
      </c>
      <c r="H22" s="4">
        <v>52</v>
      </c>
      <c r="I22" s="4">
        <v>53</v>
      </c>
      <c r="K22" s="7"/>
      <c r="L22" s="252"/>
      <c r="M22" s="113"/>
      <c r="N22" s="250">
        <f t="shared" si="2"/>
        <v>0</v>
      </c>
      <c r="O22" s="250">
        <f t="shared" si="3"/>
        <v>0</v>
      </c>
      <c r="P22" s="250">
        <f t="shared" si="4"/>
        <v>0</v>
      </c>
      <c r="Q22" s="113"/>
      <c r="R22" s="7"/>
      <c r="S22" s="7"/>
      <c r="T22" s="255"/>
      <c r="U22" s="259">
        <f t="shared" si="5"/>
        <v>271.75908448476935</v>
      </c>
      <c r="V22" s="259">
        <f t="shared" si="6"/>
        <v>492.64269823574978</v>
      </c>
    </row>
    <row r="23" spans="1:22" ht="15.75" thickBot="1" x14ac:dyDescent="0.3">
      <c r="A23" s="261"/>
      <c r="B23" s="254">
        <v>200</v>
      </c>
      <c r="C23" s="254">
        <v>6</v>
      </c>
      <c r="D23" s="4">
        <v>80</v>
      </c>
      <c r="E23" s="4">
        <v>57</v>
      </c>
      <c r="F23" s="4">
        <v>9</v>
      </c>
      <c r="G23" s="4">
        <v>58</v>
      </c>
      <c r="H23" s="4">
        <v>98</v>
      </c>
      <c r="I23" s="4">
        <v>205</v>
      </c>
      <c r="K23" s="25" t="s">
        <v>49</v>
      </c>
      <c r="L23" s="253">
        <v>21</v>
      </c>
      <c r="M23" s="120" t="s">
        <v>50</v>
      </c>
      <c r="N23" s="250">
        <f t="shared" si="2"/>
        <v>157</v>
      </c>
      <c r="O23" s="250">
        <f t="shared" si="3"/>
        <v>113</v>
      </c>
      <c r="P23" s="250">
        <f t="shared" si="4"/>
        <v>83</v>
      </c>
      <c r="Q23" s="120" t="s">
        <v>51</v>
      </c>
      <c r="R23" s="25" t="s">
        <v>52</v>
      </c>
      <c r="S23" s="25" t="s">
        <v>5</v>
      </c>
      <c r="T23" s="255"/>
      <c r="U23" s="259">
        <f t="shared" si="5"/>
        <v>122.22111110606056</v>
      </c>
      <c r="V23" s="259">
        <f t="shared" si="6"/>
        <v>214.31106007098654</v>
      </c>
    </row>
    <row r="24" spans="1:22" ht="15.75" thickBot="1" x14ac:dyDescent="0.3">
      <c r="A24" s="261"/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K24" s="25"/>
      <c r="L24" s="253"/>
      <c r="M24" s="120"/>
      <c r="N24" s="250"/>
      <c r="O24" s="250"/>
      <c r="P24" s="250"/>
      <c r="Q24" s="120"/>
      <c r="R24" s="25"/>
      <c r="S24" s="25"/>
      <c r="T24" s="255"/>
      <c r="U24" s="259"/>
      <c r="V24" s="259"/>
    </row>
    <row r="25" spans="1:22" ht="15.75" thickBot="1" x14ac:dyDescent="0.3">
      <c r="A25" s="262"/>
      <c r="B25" s="3" t="str">
        <f>IF(B23&lt;&gt;"",VLOOKUP(B23,$L$3:$M$133,2,FALSE),"")</f>
        <v>Cobalt</v>
      </c>
      <c r="C25" s="3" t="str">
        <f t="shared" ref="C25" si="26">IF(C23&lt;&gt;"",VLOOKUP(C23,$L$3:$M$133,2,FALSE),"")</f>
        <v>Bubble Gum</v>
      </c>
      <c r="D25" s="3" t="str">
        <f>IF(D23&lt;&gt;"",VLOOKUP(D23,$L$3:$M$133,2,FALSE),"")</f>
        <v>Bright Green</v>
      </c>
      <c r="E25" s="3" t="str">
        <f t="shared" ref="E25" si="27">IF(E23&lt;&gt;"",VLOOKUP(E23,$L$3:$M$133,2,FALSE),"")</f>
        <v>Cheddar</v>
      </c>
      <c r="F25" s="3" t="str">
        <f t="shared" ref="F25" si="28">IF(F23&lt;&gt;"",VLOOKUP(F23,$L$3:$M$133,2,FALSE),"")</f>
        <v>Light Blue</v>
      </c>
      <c r="G25" s="3" t="str">
        <f t="shared" ref="G25" si="29">IF(G23&lt;&gt;"",VLOOKUP(G23,$L$3:$M$133,2,FALSE),"")</f>
        <v>Toothpaste</v>
      </c>
      <c r="H25" s="3" t="str">
        <f t="shared" ref="H25" si="30">IF(H23&lt;&gt;"",VLOOKUP(H23,$L$3:$M$133,2,FALSE),"")</f>
        <v>Sand</v>
      </c>
      <c r="I25" s="3" t="str">
        <f>IF(I23&lt;&gt;"",VLOOKUP(I23,$L$3:$M$133,2,FALSE),"")</f>
        <v>Fawn</v>
      </c>
      <c r="K25" s="26" t="s">
        <v>53</v>
      </c>
      <c r="L25" s="253">
        <v>12</v>
      </c>
      <c r="M25" s="121" t="s">
        <v>54</v>
      </c>
      <c r="N25" s="250">
        <f t="shared" si="2"/>
        <v>108</v>
      </c>
      <c r="O25" s="250">
        <f t="shared" si="3"/>
        <v>82</v>
      </c>
      <c r="P25" s="250">
        <f t="shared" si="4"/>
        <v>77</v>
      </c>
      <c r="Q25" s="121" t="s">
        <v>55</v>
      </c>
      <c r="R25" s="26" t="s">
        <v>56</v>
      </c>
      <c r="S25" s="26" t="s">
        <v>5</v>
      </c>
      <c r="T25" s="255"/>
      <c r="U25" s="259">
        <f t="shared" si="5"/>
        <v>137.92026682108761</v>
      </c>
      <c r="V25" s="259">
        <f t="shared" si="6"/>
        <v>255.57679863399181</v>
      </c>
    </row>
    <row r="26" spans="1:22" ht="15.75" thickBot="1" x14ac:dyDescent="0.3">
      <c r="A26" s="260">
        <v>7</v>
      </c>
      <c r="B26" s="4">
        <v>28</v>
      </c>
      <c r="C26" s="4">
        <v>29</v>
      </c>
      <c r="D26" s="4">
        <v>38</v>
      </c>
      <c r="E26" s="4">
        <v>39</v>
      </c>
      <c r="F26" s="4">
        <v>40</v>
      </c>
      <c r="G26" s="4">
        <v>43</v>
      </c>
      <c r="H26" s="4">
        <v>49</v>
      </c>
      <c r="I26" s="4">
        <v>50</v>
      </c>
      <c r="K26" s="7"/>
      <c r="L26" s="252"/>
      <c r="M26" s="113"/>
      <c r="N26" s="250">
        <f t="shared" si="2"/>
        <v>0</v>
      </c>
      <c r="O26" s="250">
        <f t="shared" si="3"/>
        <v>0</v>
      </c>
      <c r="P26" s="250">
        <f t="shared" si="4"/>
        <v>0</v>
      </c>
      <c r="Q26" s="113"/>
      <c r="R26" s="7"/>
      <c r="S26" s="7"/>
      <c r="T26" s="255"/>
      <c r="U26" s="259">
        <f t="shared" si="5"/>
        <v>271.75908448476935</v>
      </c>
      <c r="V26" s="259">
        <f t="shared" si="6"/>
        <v>492.64269823574978</v>
      </c>
    </row>
    <row r="27" spans="1:22" ht="15.75" thickBot="1" x14ac:dyDescent="0.3">
      <c r="A27" s="261"/>
      <c r="B27" s="4">
        <v>961</v>
      </c>
      <c r="C27" s="4">
        <v>102</v>
      </c>
      <c r="D27" s="4">
        <v>35</v>
      </c>
      <c r="E27" s="4">
        <v>20</v>
      </c>
      <c r="F27" s="4">
        <v>60</v>
      </c>
      <c r="G27" s="4">
        <v>92</v>
      </c>
      <c r="H27" s="4">
        <v>206</v>
      </c>
      <c r="I27" s="4">
        <v>207</v>
      </c>
      <c r="K27" s="27" t="s">
        <v>57</v>
      </c>
      <c r="L27" s="253">
        <v>2</v>
      </c>
      <c r="M27" s="122" t="s">
        <v>58</v>
      </c>
      <c r="N27" s="250">
        <f t="shared" si="2"/>
        <v>237</v>
      </c>
      <c r="O27" s="250">
        <f t="shared" si="3"/>
        <v>231</v>
      </c>
      <c r="P27" s="250">
        <f t="shared" si="4"/>
        <v>186</v>
      </c>
      <c r="Q27" s="201">
        <v>237231186</v>
      </c>
      <c r="R27" s="27" t="s">
        <v>59</v>
      </c>
      <c r="S27" s="27" t="s">
        <v>5</v>
      </c>
      <c r="T27" s="255"/>
      <c r="U27" s="259">
        <f t="shared" si="5"/>
        <v>139.31618714277246</v>
      </c>
      <c r="V27" s="259">
        <f t="shared" si="6"/>
        <v>232.37985386942432</v>
      </c>
    </row>
    <row r="28" spans="1:22" ht="15.75" thickBot="1" x14ac:dyDescent="0.3">
      <c r="A28" s="261"/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K28" s="27"/>
      <c r="L28" s="253"/>
      <c r="M28" s="122"/>
      <c r="N28" s="250"/>
      <c r="O28" s="250"/>
      <c r="P28" s="250"/>
      <c r="Q28" s="201"/>
      <c r="R28" s="27"/>
      <c r="S28" s="27"/>
      <c r="T28" s="255"/>
      <c r="U28" s="259"/>
      <c r="V28" s="259"/>
    </row>
    <row r="29" spans="1:22" ht="15.75" thickBot="1" x14ac:dyDescent="0.3">
      <c r="A29" s="262"/>
      <c r="B29" s="3" t="str">
        <f>IF(B27&lt;&gt;"",VLOOKUP(B27,$L$3:$M$133,2,FALSE),"")</f>
        <v>Cherry</v>
      </c>
      <c r="C29" s="3" t="str">
        <f t="shared" ref="C29" si="31">IF(C27&lt;&gt;"",VLOOKUP(C27,$L$3:$M$133,2,FALSE),"")</f>
        <v>Pearl Green</v>
      </c>
      <c r="D29" s="3" t="str">
        <f>IF(D27&lt;&gt;"",VLOOKUP(D27,$L$3:$M$133,2,FALSE),"")</f>
        <v>Tan</v>
      </c>
      <c r="E29" s="3" t="str">
        <f t="shared" ref="E29" si="32">IF(E27&lt;&gt;"",VLOOKUP(E27,$L$3:$M$133,2,FALSE),"")</f>
        <v>Rust</v>
      </c>
      <c r="F29" s="3" t="str">
        <f t="shared" ref="F29" si="33">IF(F27&lt;&gt;"",VLOOKUP(F27,$L$3:$M$133,2,FALSE),"")</f>
        <v>Plum</v>
      </c>
      <c r="G29" s="3" t="str">
        <f t="shared" ref="G29" si="34">IF(G27&lt;&gt;"",VLOOKUP(G27,$L$3:$M$133,2,FALSE),"")</f>
        <v>Dark Gray</v>
      </c>
      <c r="H29" s="3" t="str">
        <f t="shared" ref="H29" si="35">IF(H27&lt;&gt;"",VLOOKUP(H27,$L$3:$M$133,2,FALSE),"")</f>
        <v>Pewter</v>
      </c>
      <c r="I29" s="3" t="str">
        <f>IF(I27&lt;&gt;"",VLOOKUP(I27,$L$3:$M$133,2,FALSE),"")</f>
        <v>Charcoal</v>
      </c>
      <c r="K29" s="28" t="s">
        <v>60</v>
      </c>
      <c r="L29" s="253">
        <v>56</v>
      </c>
      <c r="M29" s="123" t="s">
        <v>61</v>
      </c>
      <c r="N29" s="250">
        <f t="shared" si="2"/>
        <v>250</v>
      </c>
      <c r="O29" s="250">
        <f t="shared" si="3"/>
        <v>238</v>
      </c>
      <c r="P29" s="250">
        <f t="shared" si="4"/>
        <v>141</v>
      </c>
      <c r="Q29" s="202">
        <v>250238141</v>
      </c>
      <c r="R29" s="28" t="s">
        <v>62</v>
      </c>
      <c r="S29" s="28" t="s">
        <v>5</v>
      </c>
      <c r="T29" s="255"/>
      <c r="U29" s="259">
        <f t="shared" si="5"/>
        <v>153.83757668398187</v>
      </c>
      <c r="V29" s="259">
        <f t="shared" si="6"/>
        <v>258.28494590519597</v>
      </c>
    </row>
    <row r="30" spans="1:22" ht="15.75" thickBot="1" x14ac:dyDescent="0.3">
      <c r="A30" s="260">
        <v>8</v>
      </c>
      <c r="B30" s="4">
        <v>30</v>
      </c>
      <c r="C30" s="4">
        <v>31</v>
      </c>
      <c r="D30" s="4">
        <v>36</v>
      </c>
      <c r="E30" s="4">
        <v>37</v>
      </c>
      <c r="F30" s="4">
        <v>41</v>
      </c>
      <c r="G30" s="4">
        <v>42</v>
      </c>
      <c r="H30" s="4">
        <v>48</v>
      </c>
      <c r="I30" s="4">
        <v>51</v>
      </c>
      <c r="K30" s="29" t="s">
        <v>63</v>
      </c>
      <c r="L30" s="253">
        <v>3</v>
      </c>
      <c r="M30" s="124" t="s">
        <v>64</v>
      </c>
      <c r="N30" s="250">
        <f t="shared" si="2"/>
        <v>249</v>
      </c>
      <c r="O30" s="250">
        <f t="shared" si="3"/>
        <v>215</v>
      </c>
      <c r="P30" s="250">
        <f t="shared" si="4"/>
        <v>55</v>
      </c>
      <c r="Q30" s="124" t="s">
        <v>65</v>
      </c>
      <c r="R30" s="29" t="s">
        <v>66</v>
      </c>
      <c r="S30" s="29" t="s">
        <v>5</v>
      </c>
      <c r="T30" s="255"/>
      <c r="U30" s="259">
        <f t="shared" si="5"/>
        <v>181.67553495173752</v>
      </c>
      <c r="V30" s="259">
        <f t="shared" si="6"/>
        <v>291.78638242513989</v>
      </c>
    </row>
    <row r="31" spans="1:22" ht="15.75" thickBot="1" x14ac:dyDescent="0.3">
      <c r="A31" s="261"/>
      <c r="B31" s="4">
        <v>105</v>
      </c>
      <c r="C31" s="4">
        <v>201</v>
      </c>
      <c r="D31" s="4">
        <v>61</v>
      </c>
      <c r="E31" s="4">
        <v>11</v>
      </c>
      <c r="F31" s="4">
        <v>88</v>
      </c>
      <c r="G31" s="4">
        <v>54</v>
      </c>
      <c r="H31" s="4">
        <v>401</v>
      </c>
      <c r="I31" s="4">
        <v>408</v>
      </c>
      <c r="K31" s="30" t="s">
        <v>67</v>
      </c>
      <c r="L31" s="253">
        <v>57</v>
      </c>
      <c r="M31" s="125" t="s">
        <v>68</v>
      </c>
      <c r="N31" s="250">
        <f t="shared" si="2"/>
        <v>255</v>
      </c>
      <c r="O31" s="250">
        <f t="shared" si="3"/>
        <v>182</v>
      </c>
      <c r="P31" s="250">
        <f t="shared" si="4"/>
        <v>78</v>
      </c>
      <c r="Q31" s="125" t="s">
        <v>69</v>
      </c>
      <c r="R31" s="30" t="s">
        <v>70</v>
      </c>
      <c r="S31" s="30" t="s">
        <v>5</v>
      </c>
      <c r="T31" s="255"/>
      <c r="U31" s="259">
        <f t="shared" si="5"/>
        <v>172.18013822738092</v>
      </c>
      <c r="V31" s="259">
        <f t="shared" si="6"/>
        <v>277.84130545263605</v>
      </c>
    </row>
    <row r="32" spans="1:22" ht="15.75" thickBot="1" x14ac:dyDescent="0.3">
      <c r="A32" s="261"/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K32" s="30"/>
      <c r="L32" s="253"/>
      <c r="M32" s="125"/>
      <c r="N32" s="250"/>
      <c r="O32" s="250"/>
      <c r="P32" s="250"/>
      <c r="Q32" s="125"/>
      <c r="R32" s="30"/>
      <c r="S32" s="30"/>
      <c r="T32" s="255"/>
      <c r="U32" s="259"/>
      <c r="V32" s="259"/>
    </row>
    <row r="33" spans="1:22" ht="15.75" thickBot="1" x14ac:dyDescent="0.3">
      <c r="A33" s="262"/>
      <c r="B33" s="3" t="str">
        <f>IF(B31&lt;&gt;"",VLOOKUP(B31,$L$3:$M$133,2,FALSE),"")</f>
        <v>Silver</v>
      </c>
      <c r="C33" s="3" t="str">
        <f t="shared" ref="C33" si="36">IF(C31&lt;&gt;"",VLOOKUP(C31,$L$3:$M$133,2,FALSE),"")</f>
        <v>Midnight</v>
      </c>
      <c r="D33" s="3" t="str">
        <f>IF(D31&lt;&gt;"",VLOOKUP(D31,$L$3:$M$133,2,FALSE),"")</f>
        <v>Kiwi Lime</v>
      </c>
      <c r="E33" s="3" t="str">
        <f t="shared" ref="E33" si="37">IF(E31&lt;&gt;"",VLOOKUP(E31,$L$3:$M$133,2,FALSE),"")</f>
        <v>Light Green</v>
      </c>
      <c r="F33" s="3" t="str">
        <f t="shared" ref="F33" si="38">IF(F31&lt;&gt;"",VLOOKUP(F31,$L$3:$M$133,2,FALSE),"")</f>
        <v>Raspberry</v>
      </c>
      <c r="G33" s="3" t="str">
        <f t="shared" ref="G33" si="39">IF(G31&lt;&gt;"",VLOOKUP(G31,$L$3:$M$133,2,FALSE),"")</f>
        <v>Pastel Lavender</v>
      </c>
      <c r="H33" s="3" t="str">
        <f t="shared" ref="H33" si="40">IF(H31&lt;&gt;"",VLOOKUP(H31,$L$3:$M$133,2,FALSE),"")</f>
        <v>Fern</v>
      </c>
      <c r="I33" s="3" t="str">
        <f>IF(I31&lt;&gt;"",VLOOKUP(I31,$L$3:$M$133,2,FALSE),"")</f>
        <v>Spice</v>
      </c>
      <c r="K33" s="31" t="s">
        <v>71</v>
      </c>
      <c r="L33" s="253">
        <v>4</v>
      </c>
      <c r="M33" s="126" t="s">
        <v>72</v>
      </c>
      <c r="N33" s="250">
        <f t="shared" si="2"/>
        <v>255</v>
      </c>
      <c r="O33" s="250">
        <f t="shared" si="3"/>
        <v>128</v>
      </c>
      <c r="P33" s="250">
        <f t="shared" si="4"/>
        <v>62</v>
      </c>
      <c r="Q33" s="126" t="s">
        <v>73</v>
      </c>
      <c r="R33" s="31" t="s">
        <v>74</v>
      </c>
      <c r="S33" s="31" t="s">
        <v>5</v>
      </c>
      <c r="T33" s="255"/>
      <c r="U33" s="259">
        <f t="shared" si="5"/>
        <v>190.59380892358493</v>
      </c>
      <c r="V33" s="259">
        <f t="shared" si="6"/>
        <v>314.28516671269261</v>
      </c>
    </row>
    <row r="34" spans="1:22" ht="15.75" thickBot="1" x14ac:dyDescent="0.3">
      <c r="K34" s="32" t="s">
        <v>75</v>
      </c>
      <c r="L34" s="253">
        <v>90</v>
      </c>
      <c r="M34" s="127" t="s">
        <v>76</v>
      </c>
      <c r="N34" s="250">
        <f t="shared" si="2"/>
        <v>225</v>
      </c>
      <c r="O34" s="250">
        <f t="shared" si="3"/>
        <v>154</v>
      </c>
      <c r="P34" s="250">
        <f t="shared" si="4"/>
        <v>82</v>
      </c>
      <c r="Q34" s="127" t="s">
        <v>77</v>
      </c>
      <c r="R34" s="32" t="s">
        <v>78</v>
      </c>
      <c r="S34" s="32" t="s">
        <v>5</v>
      </c>
      <c r="T34" s="255"/>
      <c r="U34" s="259">
        <f t="shared" si="5"/>
        <v>148.69431730903506</v>
      </c>
      <c r="V34" s="259">
        <f t="shared" si="6"/>
        <v>241.19626587465029</v>
      </c>
    </row>
    <row r="35" spans="1:22" ht="15.75" thickBot="1" x14ac:dyDescent="0.3">
      <c r="K35" s="7"/>
      <c r="L35" s="252"/>
      <c r="M35" s="113"/>
      <c r="N35" s="250">
        <f t="shared" si="2"/>
        <v>0</v>
      </c>
      <c r="O35" s="250">
        <f t="shared" si="3"/>
        <v>0</v>
      </c>
      <c r="P35" s="250">
        <f t="shared" si="4"/>
        <v>0</v>
      </c>
      <c r="Q35" s="113"/>
      <c r="R35" s="7"/>
      <c r="S35" s="7"/>
      <c r="T35" s="255"/>
      <c r="U35" s="259">
        <f t="shared" si="5"/>
        <v>271.75908448476935</v>
      </c>
      <c r="V35" s="259">
        <f t="shared" si="6"/>
        <v>492.64269823574978</v>
      </c>
    </row>
    <row r="36" spans="1:22" ht="15.75" thickBot="1" x14ac:dyDescent="0.3">
      <c r="K36" s="33" t="s">
        <v>79</v>
      </c>
      <c r="L36" s="253">
        <v>59</v>
      </c>
      <c r="M36" s="128" t="s">
        <v>80</v>
      </c>
      <c r="N36" s="250">
        <f t="shared" si="2"/>
        <v>255</v>
      </c>
      <c r="O36" s="250">
        <f t="shared" si="3"/>
        <v>97</v>
      </c>
      <c r="P36" s="250">
        <f t="shared" si="4"/>
        <v>88</v>
      </c>
      <c r="Q36" s="128" t="s">
        <v>81</v>
      </c>
      <c r="R36" s="33" t="s">
        <v>82</v>
      </c>
      <c r="S36" s="33" t="s">
        <v>5</v>
      </c>
      <c r="T36" s="255"/>
      <c r="U36" s="259">
        <f t="shared" si="5"/>
        <v>190.89525923919641</v>
      </c>
      <c r="V36" s="259">
        <f t="shared" si="6"/>
        <v>327.32910915945894</v>
      </c>
    </row>
    <row r="37" spans="1:22" ht="15.75" thickBot="1" x14ac:dyDescent="0.3">
      <c r="K37" s="34" t="s">
        <v>83</v>
      </c>
      <c r="L37" s="253">
        <v>203</v>
      </c>
      <c r="M37" s="129" t="s">
        <v>84</v>
      </c>
      <c r="N37" s="250">
        <f t="shared" si="2"/>
        <v>255</v>
      </c>
      <c r="O37" s="250">
        <f t="shared" si="3"/>
        <v>119</v>
      </c>
      <c r="P37" s="250">
        <f t="shared" si="4"/>
        <v>127</v>
      </c>
      <c r="Q37" s="203">
        <v>255119127</v>
      </c>
      <c r="R37" s="34" t="s">
        <v>85</v>
      </c>
      <c r="S37" s="34" t="s">
        <v>5</v>
      </c>
      <c r="T37" s="255"/>
      <c r="U37" s="259">
        <f t="shared" si="5"/>
        <v>168.7305544351704</v>
      </c>
      <c r="V37" s="259">
        <f t="shared" si="6"/>
        <v>287.73571179773637</v>
      </c>
    </row>
    <row r="38" spans="1:22" ht="15.75" thickBot="1" x14ac:dyDescent="0.3">
      <c r="K38" s="35" t="s">
        <v>86</v>
      </c>
      <c r="L38" s="253">
        <v>63</v>
      </c>
      <c r="M38" s="130" t="s">
        <v>87</v>
      </c>
      <c r="N38" s="250">
        <f t="shared" si="2"/>
        <v>255</v>
      </c>
      <c r="O38" s="250">
        <f t="shared" si="3"/>
        <v>158</v>
      </c>
      <c r="P38" s="250">
        <f t="shared" si="4"/>
        <v>141</v>
      </c>
      <c r="Q38" s="204">
        <v>255158141</v>
      </c>
      <c r="R38" s="35" t="s">
        <v>88</v>
      </c>
      <c r="S38" s="35" t="s">
        <v>5</v>
      </c>
      <c r="T38" s="255"/>
      <c r="U38" s="259">
        <f t="shared" si="5"/>
        <v>153.91880976670785</v>
      </c>
      <c r="V38" s="259">
        <f t="shared" si="6"/>
        <v>255.16932950248938</v>
      </c>
    </row>
    <row r="39" spans="1:22" ht="15.75" thickBot="1" x14ac:dyDescent="0.3">
      <c r="K39" s="36" t="s">
        <v>89</v>
      </c>
      <c r="L39" s="253">
        <v>204</v>
      </c>
      <c r="M39" s="131" t="s">
        <v>90</v>
      </c>
      <c r="N39" s="250">
        <f t="shared" ref="N39:N103" si="41">HEX2DEC(LEFT(R39,2))</f>
        <v>255</v>
      </c>
      <c r="O39" s="250">
        <f t="shared" ref="O39:O103" si="42">HEX2DEC(MID(R39,3,2))</f>
        <v>181</v>
      </c>
      <c r="P39" s="250">
        <f t="shared" ref="P39:P103" si="43">HEX2DEC(RIGHT(R39,2))</f>
        <v>190</v>
      </c>
      <c r="Q39" s="205">
        <v>255181190</v>
      </c>
      <c r="R39" s="36" t="s">
        <v>91</v>
      </c>
      <c r="S39" s="36" t="s">
        <v>5</v>
      </c>
      <c r="T39" s="255"/>
      <c r="U39" s="259">
        <f t="shared" si="5"/>
        <v>151.46286673637206</v>
      </c>
      <c r="V39" s="259">
        <f t="shared" si="6"/>
        <v>248.7170400588287</v>
      </c>
    </row>
    <row r="40" spans="1:22" ht="15.75" thickBot="1" x14ac:dyDescent="0.3">
      <c r="K40" s="37" t="s">
        <v>92</v>
      </c>
      <c r="L40" s="253">
        <v>33</v>
      </c>
      <c r="M40" s="132" t="s">
        <v>93</v>
      </c>
      <c r="N40" s="250">
        <f t="shared" si="41"/>
        <v>252</v>
      </c>
      <c r="O40" s="250">
        <f t="shared" si="42"/>
        <v>198</v>
      </c>
      <c r="P40" s="250">
        <f t="shared" si="43"/>
        <v>184</v>
      </c>
      <c r="Q40" s="206">
        <v>252198184</v>
      </c>
      <c r="R40" s="37" t="s">
        <v>94</v>
      </c>
      <c r="S40" s="37" t="s">
        <v>5</v>
      </c>
      <c r="T40" s="255"/>
      <c r="U40" s="259">
        <f t="shared" si="5"/>
        <v>147.63807097087118</v>
      </c>
      <c r="V40" s="259">
        <f t="shared" si="6"/>
        <v>242.44442017707894</v>
      </c>
    </row>
    <row r="41" spans="1:22" ht="15.75" thickBot="1" x14ac:dyDescent="0.3">
      <c r="K41" s="7"/>
      <c r="L41" s="252"/>
      <c r="M41" s="113"/>
      <c r="N41" s="250">
        <f t="shared" si="41"/>
        <v>0</v>
      </c>
      <c r="O41" s="250">
        <f t="shared" si="42"/>
        <v>0</v>
      </c>
      <c r="P41" s="250">
        <f t="shared" si="43"/>
        <v>0</v>
      </c>
      <c r="Q41" s="113"/>
      <c r="R41" s="7"/>
      <c r="S41" s="7"/>
      <c r="T41" s="255"/>
      <c r="U41" s="259">
        <f t="shared" si="5"/>
        <v>271.75908448476935</v>
      </c>
      <c r="V41" s="259">
        <f t="shared" si="6"/>
        <v>492.64269823574978</v>
      </c>
    </row>
    <row r="42" spans="1:22" ht="15.75" thickBot="1" x14ac:dyDescent="0.3">
      <c r="K42" s="38" t="s">
        <v>95</v>
      </c>
      <c r="L42" s="253">
        <v>79</v>
      </c>
      <c r="M42" s="133" t="s">
        <v>96</v>
      </c>
      <c r="N42" s="250">
        <f t="shared" si="41"/>
        <v>245</v>
      </c>
      <c r="O42" s="250">
        <f t="shared" si="42"/>
        <v>192</v>
      </c>
      <c r="P42" s="250">
        <f t="shared" si="43"/>
        <v>213</v>
      </c>
      <c r="Q42" s="207">
        <v>245192213</v>
      </c>
      <c r="R42" s="38" t="s">
        <v>97</v>
      </c>
      <c r="S42" s="38" t="s">
        <v>5</v>
      </c>
      <c r="T42" s="255"/>
      <c r="U42" s="259">
        <f t="shared" si="5"/>
        <v>147.41438193066509</v>
      </c>
      <c r="V42" s="259">
        <f t="shared" si="6"/>
        <v>239.73125415504336</v>
      </c>
    </row>
    <row r="43" spans="1:22" ht="15.75" thickBot="1" x14ac:dyDescent="0.3">
      <c r="K43" s="39" t="s">
        <v>98</v>
      </c>
      <c r="L43" s="253">
        <v>6</v>
      </c>
      <c r="M43" s="134" t="s">
        <v>99</v>
      </c>
      <c r="N43" s="250">
        <f t="shared" si="41"/>
        <v>225</v>
      </c>
      <c r="O43" s="250">
        <f t="shared" si="42"/>
        <v>109</v>
      </c>
      <c r="P43" s="250">
        <f t="shared" si="43"/>
        <v>157</v>
      </c>
      <c r="Q43" s="208">
        <v>225109157</v>
      </c>
      <c r="R43" s="39" t="s">
        <v>100</v>
      </c>
      <c r="S43" s="39" t="s">
        <v>5</v>
      </c>
      <c r="T43" s="255"/>
      <c r="U43" s="259">
        <f t="shared" si="5"/>
        <v>143.56183336806478</v>
      </c>
      <c r="V43" s="259">
        <f t="shared" si="6"/>
        <v>251.38018238069205</v>
      </c>
    </row>
    <row r="44" spans="1:22" ht="15.75" thickBot="1" x14ac:dyDescent="0.3">
      <c r="K44" s="40" t="s">
        <v>101</v>
      </c>
      <c r="L44" s="253">
        <v>83</v>
      </c>
      <c r="M44" s="135" t="s">
        <v>102</v>
      </c>
      <c r="N44" s="250">
        <f t="shared" si="41"/>
        <v>230</v>
      </c>
      <c r="O44" s="250">
        <f t="shared" si="42"/>
        <v>87</v>
      </c>
      <c r="P44" s="250">
        <f t="shared" si="43"/>
        <v>148</v>
      </c>
      <c r="Q44" s="135" t="s">
        <v>103</v>
      </c>
      <c r="R44" s="40" t="s">
        <v>104</v>
      </c>
      <c r="S44" s="40" t="s">
        <v>5</v>
      </c>
      <c r="T44" s="255"/>
      <c r="U44" s="259">
        <f t="shared" si="5"/>
        <v>161.35674761223964</v>
      </c>
      <c r="V44" s="259">
        <f t="shared" si="6"/>
        <v>288.19698124720185</v>
      </c>
    </row>
    <row r="45" spans="1:22" ht="15.75" thickBot="1" x14ac:dyDescent="0.3">
      <c r="K45" s="41" t="s">
        <v>105</v>
      </c>
      <c r="L45" s="253">
        <v>38</v>
      </c>
      <c r="M45" s="136" t="s">
        <v>106</v>
      </c>
      <c r="N45" s="250">
        <f t="shared" si="41"/>
        <v>243</v>
      </c>
      <c r="O45" s="250">
        <f t="shared" si="42"/>
        <v>70</v>
      </c>
      <c r="P45" s="250">
        <f t="shared" si="43"/>
        <v>118</v>
      </c>
      <c r="Q45" s="136" t="s">
        <v>107</v>
      </c>
      <c r="R45" s="41" t="s">
        <v>108</v>
      </c>
      <c r="S45" s="41" t="s">
        <v>5</v>
      </c>
      <c r="T45" s="255"/>
      <c r="U45" s="259">
        <f t="shared" si="5"/>
        <v>187.20576914187234</v>
      </c>
      <c r="V45" s="259">
        <f t="shared" si="6"/>
        <v>334.47435731775465</v>
      </c>
    </row>
    <row r="46" spans="1:22" ht="15.75" thickBot="1" x14ac:dyDescent="0.3">
      <c r="K46" s="7"/>
      <c r="L46" s="252"/>
      <c r="M46" s="113"/>
      <c r="N46" s="250">
        <f t="shared" si="41"/>
        <v>0</v>
      </c>
      <c r="O46" s="250">
        <f t="shared" si="42"/>
        <v>0</v>
      </c>
      <c r="P46" s="250">
        <f t="shared" si="43"/>
        <v>0</v>
      </c>
      <c r="Q46" s="113"/>
      <c r="R46" s="7"/>
      <c r="S46" s="7"/>
      <c r="T46" s="255"/>
      <c r="U46" s="259">
        <f t="shared" si="5"/>
        <v>271.75908448476935</v>
      </c>
      <c r="V46" s="259">
        <f t="shared" si="6"/>
        <v>492.64269823574978</v>
      </c>
    </row>
    <row r="47" spans="1:22" ht="15.75" thickBot="1" x14ac:dyDescent="0.3">
      <c r="K47" s="42" t="s">
        <v>109</v>
      </c>
      <c r="L47" s="253">
        <v>5</v>
      </c>
      <c r="M47" s="137" t="s">
        <v>110</v>
      </c>
      <c r="N47" s="250">
        <f t="shared" si="41"/>
        <v>196</v>
      </c>
      <c r="O47" s="250">
        <f t="shared" si="42"/>
        <v>58</v>
      </c>
      <c r="P47" s="250">
        <f t="shared" si="43"/>
        <v>68</v>
      </c>
      <c r="Q47" s="137" t="s">
        <v>111</v>
      </c>
      <c r="R47" s="42" t="s">
        <v>112</v>
      </c>
      <c r="S47" s="42" t="s">
        <v>5</v>
      </c>
      <c r="T47" s="255"/>
      <c r="U47" s="259">
        <f t="shared" si="5"/>
        <v>185.67983196890285</v>
      </c>
      <c r="V47" s="259">
        <f t="shared" si="6"/>
        <v>334.36168197776493</v>
      </c>
    </row>
    <row r="48" spans="1:22" ht="15.75" thickBot="1" x14ac:dyDescent="0.3">
      <c r="K48" s="43" t="s">
        <v>113</v>
      </c>
      <c r="L48" s="253">
        <v>961</v>
      </c>
      <c r="M48" s="138" t="s">
        <v>114</v>
      </c>
      <c r="N48" s="250">
        <f t="shared" si="41"/>
        <v>173</v>
      </c>
      <c r="O48" s="250">
        <f t="shared" si="42"/>
        <v>51</v>
      </c>
      <c r="P48" s="250">
        <f t="shared" si="43"/>
        <v>69</v>
      </c>
      <c r="Q48" s="138" t="s">
        <v>115</v>
      </c>
      <c r="R48" s="44" t="s">
        <v>116</v>
      </c>
      <c r="S48" s="43" t="s">
        <v>5</v>
      </c>
      <c r="T48" s="255"/>
      <c r="U48" s="259">
        <f t="shared" si="5"/>
        <v>180.43835512440253</v>
      </c>
      <c r="V48" s="259">
        <f t="shared" si="6"/>
        <v>331.24308365421007</v>
      </c>
    </row>
    <row r="49" spans="11:22" ht="15.75" thickBot="1" x14ac:dyDescent="0.3">
      <c r="K49" s="45" t="s">
        <v>117</v>
      </c>
      <c r="L49" s="253">
        <v>88</v>
      </c>
      <c r="M49" s="139" t="s">
        <v>118</v>
      </c>
      <c r="N49" s="250">
        <f t="shared" si="41"/>
        <v>173</v>
      </c>
      <c r="O49" s="250">
        <f t="shared" si="42"/>
        <v>60</v>
      </c>
      <c r="P49" s="250">
        <f t="shared" si="43"/>
        <v>108</v>
      </c>
      <c r="Q49" s="139" t="s">
        <v>119</v>
      </c>
      <c r="R49" s="45" t="s">
        <v>120</v>
      </c>
      <c r="S49" s="45" t="s">
        <v>5</v>
      </c>
      <c r="T49" s="255"/>
      <c r="U49" s="259">
        <f t="shared" si="5"/>
        <v>155.77547945681309</v>
      </c>
      <c r="V49" s="259">
        <f t="shared" si="6"/>
        <v>292.70297111043305</v>
      </c>
    </row>
    <row r="50" spans="11:22" ht="15.75" thickBot="1" x14ac:dyDescent="0.3">
      <c r="K50" s="46" t="s">
        <v>121</v>
      </c>
      <c r="L50" s="253">
        <v>60</v>
      </c>
      <c r="M50" s="140" t="s">
        <v>122</v>
      </c>
      <c r="N50" s="250">
        <f t="shared" si="41"/>
        <v>178</v>
      </c>
      <c r="O50" s="250">
        <f t="shared" si="42"/>
        <v>95</v>
      </c>
      <c r="P50" s="250">
        <f t="shared" si="43"/>
        <v>170</v>
      </c>
      <c r="Q50" s="140" t="s">
        <v>123</v>
      </c>
      <c r="R50" s="46" t="s">
        <v>124</v>
      </c>
      <c r="S50" s="46" t="s">
        <v>5</v>
      </c>
      <c r="T50" s="255"/>
      <c r="U50" s="259">
        <f t="shared" si="5"/>
        <v>118.55800268223145</v>
      </c>
      <c r="V50" s="259">
        <f t="shared" si="6"/>
        <v>220.625</v>
      </c>
    </row>
    <row r="51" spans="11:22" ht="15.75" thickBot="1" x14ac:dyDescent="0.3">
      <c r="K51" s="7"/>
      <c r="L51" s="252"/>
      <c r="M51" s="113"/>
      <c r="N51" s="250">
        <f t="shared" si="41"/>
        <v>0</v>
      </c>
      <c r="O51" s="250">
        <f t="shared" si="42"/>
        <v>0</v>
      </c>
      <c r="P51" s="250">
        <f t="shared" si="43"/>
        <v>0</v>
      </c>
      <c r="Q51" s="113"/>
      <c r="R51" s="7"/>
      <c r="S51" s="7"/>
      <c r="T51" s="255"/>
      <c r="U51" s="259">
        <f t="shared" si="5"/>
        <v>271.75908448476935</v>
      </c>
      <c r="V51" s="259">
        <f t="shared" si="6"/>
        <v>492.64269823574978</v>
      </c>
    </row>
    <row r="52" spans="11:22" ht="15.75" thickBot="1" x14ac:dyDescent="0.3">
      <c r="K52" s="47" t="s">
        <v>125</v>
      </c>
      <c r="L52" s="253">
        <v>82</v>
      </c>
      <c r="M52" s="141" t="s">
        <v>126</v>
      </c>
      <c r="N52" s="250">
        <f t="shared" si="41"/>
        <v>180</v>
      </c>
      <c r="O52" s="250">
        <f t="shared" si="42"/>
        <v>166</v>
      </c>
      <c r="P52" s="250">
        <f t="shared" si="43"/>
        <v>211</v>
      </c>
      <c r="Q52" s="209">
        <v>180166211</v>
      </c>
      <c r="R52" s="47" t="s">
        <v>127</v>
      </c>
      <c r="S52" s="47" t="s">
        <v>5</v>
      </c>
      <c r="T52" s="255"/>
      <c r="U52" s="259">
        <f t="shared" si="5"/>
        <v>90.631120482977593</v>
      </c>
      <c r="V52" s="259">
        <f t="shared" si="6"/>
        <v>146.66729995128429</v>
      </c>
    </row>
    <row r="53" spans="11:22" ht="15.75" thickBot="1" x14ac:dyDescent="0.3">
      <c r="K53" s="48" t="s">
        <v>128</v>
      </c>
      <c r="L53" s="253">
        <v>54</v>
      </c>
      <c r="M53" s="142" t="s">
        <v>129</v>
      </c>
      <c r="N53" s="250">
        <f t="shared" si="41"/>
        <v>149</v>
      </c>
      <c r="O53" s="250">
        <f t="shared" si="42"/>
        <v>130</v>
      </c>
      <c r="P53" s="250">
        <f t="shared" si="43"/>
        <v>187</v>
      </c>
      <c r="Q53" s="210">
        <v>149130187</v>
      </c>
      <c r="R53" s="48" t="s">
        <v>130</v>
      </c>
      <c r="S53" s="48" t="s">
        <v>5</v>
      </c>
      <c r="T53" s="255"/>
      <c r="U53" s="259">
        <f t="shared" si="5"/>
        <v>76.54410493303844</v>
      </c>
      <c r="V53" s="259">
        <f t="shared" si="6"/>
        <v>140.94096448070022</v>
      </c>
    </row>
    <row r="54" spans="11:22" ht="15.75" thickBot="1" x14ac:dyDescent="0.3">
      <c r="K54" s="49" t="s">
        <v>131</v>
      </c>
      <c r="L54" s="253">
        <v>7</v>
      </c>
      <c r="M54" s="143" t="s">
        <v>132</v>
      </c>
      <c r="N54" s="250">
        <f t="shared" si="41"/>
        <v>111</v>
      </c>
      <c r="O54" s="250">
        <f t="shared" si="42"/>
        <v>84</v>
      </c>
      <c r="P54" s="250">
        <f t="shared" si="43"/>
        <v>147</v>
      </c>
      <c r="Q54" s="143" t="s">
        <v>133</v>
      </c>
      <c r="R54" s="49" t="s">
        <v>134</v>
      </c>
      <c r="S54" s="49" t="s">
        <v>5</v>
      </c>
      <c r="T54" s="255"/>
      <c r="U54" s="259">
        <f t="shared" si="5"/>
        <v>106.48474069086143</v>
      </c>
      <c r="V54" s="259">
        <f t="shared" si="6"/>
        <v>211.90559329274438</v>
      </c>
    </row>
    <row r="55" spans="11:22" ht="15.75" thickBot="1" x14ac:dyDescent="0.3">
      <c r="K55" s="7"/>
      <c r="L55" s="252"/>
      <c r="M55" s="113"/>
      <c r="N55" s="250">
        <f t="shared" si="41"/>
        <v>0</v>
      </c>
      <c r="O55" s="250">
        <f t="shared" si="42"/>
        <v>0</v>
      </c>
      <c r="P55" s="250">
        <f t="shared" si="43"/>
        <v>0</v>
      </c>
      <c r="Q55" s="113"/>
      <c r="R55" s="7"/>
      <c r="S55" s="7"/>
      <c r="T55" s="255"/>
      <c r="U55" s="259">
        <f t="shared" si="5"/>
        <v>271.75908448476935</v>
      </c>
      <c r="V55" s="259">
        <f t="shared" si="6"/>
        <v>492.64269823574978</v>
      </c>
    </row>
    <row r="56" spans="11:22" ht="15.75" thickBot="1" x14ac:dyDescent="0.3">
      <c r="K56" s="50" t="s">
        <v>135</v>
      </c>
      <c r="L56" s="253">
        <v>93</v>
      </c>
      <c r="M56" s="144" t="s">
        <v>136</v>
      </c>
      <c r="N56" s="250">
        <f t="shared" si="41"/>
        <v>135</v>
      </c>
      <c r="O56" s="250">
        <f t="shared" si="42"/>
        <v>167</v>
      </c>
      <c r="P56" s="250">
        <f t="shared" si="43"/>
        <v>225</v>
      </c>
      <c r="Q56" s="211">
        <v>135167225</v>
      </c>
      <c r="R56" s="50" t="s">
        <v>137</v>
      </c>
      <c r="S56" s="50" t="s">
        <v>5</v>
      </c>
      <c r="T56" s="255"/>
      <c r="U56" s="259">
        <f t="shared" si="5"/>
        <v>71.035202540712163</v>
      </c>
      <c r="V56" s="259">
        <f t="shared" si="6"/>
        <v>115.80518055661413</v>
      </c>
    </row>
    <row r="57" spans="11:22" ht="15.75" thickBot="1" x14ac:dyDescent="0.3">
      <c r="K57" s="51" t="s">
        <v>138</v>
      </c>
      <c r="L57" s="253">
        <v>70</v>
      </c>
      <c r="M57" s="145" t="s">
        <v>139</v>
      </c>
      <c r="N57" s="250">
        <f t="shared" si="41"/>
        <v>108</v>
      </c>
      <c r="O57" s="250">
        <f t="shared" si="42"/>
        <v>136</v>
      </c>
      <c r="P57" s="250">
        <f t="shared" si="43"/>
        <v>191</v>
      </c>
      <c r="Q57" s="212">
        <v>108136191</v>
      </c>
      <c r="R57" s="51" t="s">
        <v>140</v>
      </c>
      <c r="S57" s="51" t="s">
        <v>5</v>
      </c>
      <c r="T57" s="255"/>
      <c r="U57" s="259">
        <f t="shared" si="5"/>
        <v>59.514704065466042</v>
      </c>
      <c r="V57" s="259">
        <f t="shared" si="6"/>
        <v>114.56493791732268</v>
      </c>
    </row>
    <row r="58" spans="11:22" ht="15.75" thickBot="1" x14ac:dyDescent="0.3">
      <c r="K58" s="7"/>
      <c r="L58" s="252"/>
      <c r="M58" s="113"/>
      <c r="N58" s="250">
        <f t="shared" si="41"/>
        <v>0</v>
      </c>
      <c r="O58" s="250">
        <f t="shared" si="42"/>
        <v>0</v>
      </c>
      <c r="P58" s="250">
        <f t="shared" si="43"/>
        <v>0</v>
      </c>
      <c r="Q58" s="113"/>
      <c r="R58" s="7"/>
      <c r="S58" s="7"/>
      <c r="T58" s="255"/>
      <c r="U58" s="259">
        <f t="shared" si="5"/>
        <v>271.75908448476935</v>
      </c>
      <c r="V58" s="259">
        <f t="shared" si="6"/>
        <v>492.64269823574978</v>
      </c>
    </row>
    <row r="59" spans="11:22" ht="15.75" thickBot="1" x14ac:dyDescent="0.3">
      <c r="K59" s="52" t="s">
        <v>141</v>
      </c>
      <c r="L59" s="253">
        <v>202</v>
      </c>
      <c r="M59" s="146" t="s">
        <v>142</v>
      </c>
      <c r="N59" s="250">
        <f t="shared" si="41"/>
        <v>180</v>
      </c>
      <c r="O59" s="250">
        <f t="shared" si="42"/>
        <v>217</v>
      </c>
      <c r="P59" s="250">
        <f t="shared" si="43"/>
        <v>223</v>
      </c>
      <c r="Q59" s="213">
        <v>180217223</v>
      </c>
      <c r="R59" s="52" t="s">
        <v>143</v>
      </c>
      <c r="S59" s="52" t="s">
        <v>5</v>
      </c>
      <c r="T59" s="255"/>
      <c r="U59" s="259">
        <f t="shared" si="5"/>
        <v>98.696504497373155</v>
      </c>
      <c r="V59" s="259">
        <f t="shared" si="6"/>
        <v>160.09933439899118</v>
      </c>
    </row>
    <row r="60" spans="11:22" ht="15.75" thickBot="1" x14ac:dyDescent="0.3">
      <c r="K60" s="53" t="s">
        <v>144</v>
      </c>
      <c r="L60" s="253">
        <v>52</v>
      </c>
      <c r="M60" s="147" t="s">
        <v>145</v>
      </c>
      <c r="N60" s="250">
        <f t="shared" si="41"/>
        <v>99</v>
      </c>
      <c r="O60" s="250">
        <f t="shared" si="42"/>
        <v>169</v>
      </c>
      <c r="P60" s="250">
        <f t="shared" si="43"/>
        <v>214</v>
      </c>
      <c r="Q60" s="214">
        <v>99169214</v>
      </c>
      <c r="R60" s="53" t="s">
        <v>146</v>
      </c>
      <c r="S60" s="53" t="s">
        <v>5</v>
      </c>
      <c r="T60" s="255"/>
      <c r="U60" s="259">
        <f t="shared" si="5"/>
        <v>54.304695929541857</v>
      </c>
      <c r="V60" s="259">
        <f t="shared" si="6"/>
        <v>90.591815044875887</v>
      </c>
    </row>
    <row r="61" spans="11:22" ht="15.75" thickBot="1" x14ac:dyDescent="0.3">
      <c r="K61" s="54" t="s">
        <v>147</v>
      </c>
      <c r="L61" s="253">
        <v>9</v>
      </c>
      <c r="M61" s="148" t="s">
        <v>148</v>
      </c>
      <c r="N61" s="250">
        <f t="shared" si="41"/>
        <v>39</v>
      </c>
      <c r="O61" s="250">
        <f t="shared" si="42"/>
        <v>138</v>
      </c>
      <c r="P61" s="250">
        <f t="shared" si="43"/>
        <v>203</v>
      </c>
      <c r="Q61" s="215">
        <v>39138203</v>
      </c>
      <c r="R61" s="54" t="s">
        <v>149</v>
      </c>
      <c r="S61" s="54" t="s">
        <v>5</v>
      </c>
      <c r="T61" s="255"/>
      <c r="U61" s="259">
        <f t="shared" si="5"/>
        <v>92.795474027562364</v>
      </c>
      <c r="V61" s="259">
        <f t="shared" si="6"/>
        <v>157.41539146077807</v>
      </c>
    </row>
    <row r="62" spans="11:22" ht="15.75" thickBot="1" x14ac:dyDescent="0.3">
      <c r="K62" s="55" t="s">
        <v>150</v>
      </c>
      <c r="L62" s="253">
        <v>200</v>
      </c>
      <c r="M62" s="149" t="s">
        <v>151</v>
      </c>
      <c r="N62" s="250">
        <f t="shared" si="41"/>
        <v>0</v>
      </c>
      <c r="O62" s="250">
        <f t="shared" si="42"/>
        <v>102</v>
      </c>
      <c r="P62" s="250">
        <f t="shared" si="43"/>
        <v>179</v>
      </c>
      <c r="Q62" s="149" t="s">
        <v>152</v>
      </c>
      <c r="R62" s="55" t="s">
        <v>153</v>
      </c>
      <c r="S62" s="55" t="s">
        <v>5</v>
      </c>
      <c r="T62" s="255"/>
      <c r="U62" s="259">
        <f t="shared" si="5"/>
        <v>137.94926603646718</v>
      </c>
      <c r="V62" s="259">
        <f t="shared" si="6"/>
        <v>236.01216533793337</v>
      </c>
    </row>
    <row r="63" spans="11:22" ht="15.75" thickBot="1" x14ac:dyDescent="0.3">
      <c r="K63" s="56" t="s">
        <v>154</v>
      </c>
      <c r="L63" s="253">
        <v>8</v>
      </c>
      <c r="M63" s="150" t="s">
        <v>155</v>
      </c>
      <c r="N63" s="250">
        <f t="shared" si="41"/>
        <v>43</v>
      </c>
      <c r="O63" s="250">
        <f t="shared" si="42"/>
        <v>48</v>
      </c>
      <c r="P63" s="250">
        <f t="shared" si="43"/>
        <v>124</v>
      </c>
      <c r="Q63" s="150" t="s">
        <v>156</v>
      </c>
      <c r="R63" s="56" t="s">
        <v>157</v>
      </c>
      <c r="S63" s="56" t="s">
        <v>5</v>
      </c>
      <c r="T63" s="255"/>
      <c r="U63" s="259">
        <f t="shared" si="5"/>
        <v>159.53056133543816</v>
      </c>
      <c r="V63" s="259">
        <f t="shared" si="6"/>
        <v>304.86909652443455</v>
      </c>
    </row>
    <row r="64" spans="11:22" ht="15.75" thickBot="1" x14ac:dyDescent="0.3">
      <c r="K64" s="57" t="s">
        <v>158</v>
      </c>
      <c r="L64" s="253">
        <v>201</v>
      </c>
      <c r="M64" s="151" t="s">
        <v>159</v>
      </c>
      <c r="N64" s="250">
        <v>30</v>
      </c>
      <c r="O64" s="250">
        <v>50</v>
      </c>
      <c r="P64" s="250">
        <v>80</v>
      </c>
      <c r="Q64" s="151" t="s">
        <v>160</v>
      </c>
      <c r="R64" s="57">
        <v>162846</v>
      </c>
      <c r="S64" s="57" t="s">
        <v>5</v>
      </c>
      <c r="T64" s="255"/>
      <c r="U64" s="259">
        <f t="shared" si="5"/>
        <v>179.31257624606258</v>
      </c>
      <c r="V64" s="259">
        <f t="shared" si="6"/>
        <v>331.11393431868737</v>
      </c>
    </row>
    <row r="65" spans="11:22" ht="15.75" thickBot="1" x14ac:dyDescent="0.3">
      <c r="K65" s="7"/>
      <c r="L65" s="252"/>
      <c r="M65" s="113"/>
      <c r="N65" s="250">
        <f t="shared" si="41"/>
        <v>0</v>
      </c>
      <c r="O65" s="250">
        <f t="shared" si="42"/>
        <v>0</v>
      </c>
      <c r="P65" s="250">
        <f t="shared" si="43"/>
        <v>0</v>
      </c>
      <c r="Q65" s="113"/>
      <c r="R65" s="7"/>
      <c r="S65" s="7"/>
      <c r="T65" s="255"/>
      <c r="U65" s="259">
        <f t="shared" si="5"/>
        <v>271.75908448476935</v>
      </c>
      <c r="V65" s="259">
        <f t="shared" si="6"/>
        <v>492.64269823574978</v>
      </c>
    </row>
    <row r="66" spans="11:22" ht="15.75" thickBot="1" x14ac:dyDescent="0.3">
      <c r="K66" s="58" t="s">
        <v>161</v>
      </c>
      <c r="L66" s="253">
        <v>58</v>
      </c>
      <c r="M66" s="152" t="s">
        <v>162</v>
      </c>
      <c r="N66" s="250">
        <f t="shared" si="41"/>
        <v>176</v>
      </c>
      <c r="O66" s="250">
        <f t="shared" si="42"/>
        <v>232</v>
      </c>
      <c r="P66" s="250">
        <f t="shared" si="43"/>
        <v>213</v>
      </c>
      <c r="Q66" s="216">
        <v>176232213</v>
      </c>
      <c r="R66" s="58" t="s">
        <v>163</v>
      </c>
      <c r="S66" s="58" t="s">
        <v>5</v>
      </c>
      <c r="T66" s="255"/>
      <c r="U66" s="259">
        <f t="shared" si="5"/>
        <v>95.655632348544955</v>
      </c>
      <c r="V66" s="259">
        <f t="shared" si="6"/>
        <v>160.51798477896489</v>
      </c>
    </row>
    <row r="67" spans="11:22" ht="15.75" thickBot="1" x14ac:dyDescent="0.3">
      <c r="K67" s="59" t="s">
        <v>164</v>
      </c>
      <c r="L67" s="253">
        <v>62</v>
      </c>
      <c r="M67" s="153" t="s">
        <v>165</v>
      </c>
      <c r="N67" s="250">
        <f t="shared" si="41"/>
        <v>0</v>
      </c>
      <c r="O67" s="250">
        <f t="shared" si="42"/>
        <v>143</v>
      </c>
      <c r="P67" s="250">
        <f t="shared" si="43"/>
        <v>204</v>
      </c>
      <c r="Q67" s="153" t="s">
        <v>166</v>
      </c>
      <c r="R67" s="59" t="s">
        <v>167</v>
      </c>
      <c r="S67" s="59" t="s">
        <v>5</v>
      </c>
      <c r="T67" s="255"/>
      <c r="U67" s="259">
        <f t="shared" si="5"/>
        <v>122.27837094106218</v>
      </c>
      <c r="V67" s="259">
        <f t="shared" si="6"/>
        <v>194.22848175538005</v>
      </c>
    </row>
    <row r="68" spans="11:22" ht="15.75" thickBot="1" x14ac:dyDescent="0.3">
      <c r="K68" s="7"/>
      <c r="L68" s="252"/>
      <c r="M68" s="113"/>
      <c r="N68" s="250">
        <f t="shared" si="41"/>
        <v>0</v>
      </c>
      <c r="O68" s="250">
        <f t="shared" si="42"/>
        <v>0</v>
      </c>
      <c r="P68" s="250">
        <f t="shared" si="43"/>
        <v>0</v>
      </c>
      <c r="Q68" s="113"/>
      <c r="R68" s="7"/>
      <c r="S68" s="7"/>
      <c r="T68" s="255"/>
      <c r="U68" s="259">
        <f t="shared" si="5"/>
        <v>271.75908448476935</v>
      </c>
      <c r="V68" s="259">
        <f t="shared" si="6"/>
        <v>492.64269823574978</v>
      </c>
    </row>
    <row r="69" spans="11:22" ht="15.75" thickBot="1" x14ac:dyDescent="0.3">
      <c r="K69" s="60" t="s">
        <v>168</v>
      </c>
      <c r="L69" s="253">
        <v>11</v>
      </c>
      <c r="M69" s="154" t="s">
        <v>169</v>
      </c>
      <c r="N69" s="250">
        <f t="shared" si="41"/>
        <v>56</v>
      </c>
      <c r="O69" s="250">
        <f t="shared" si="42"/>
        <v>199</v>
      </c>
      <c r="P69" s="250">
        <f t="shared" si="43"/>
        <v>175</v>
      </c>
      <c r="Q69" s="217">
        <v>56199175</v>
      </c>
      <c r="R69" s="60" t="s">
        <v>170</v>
      </c>
      <c r="S69" s="60" t="s">
        <v>5</v>
      </c>
      <c r="T69" s="255"/>
      <c r="U69" s="259">
        <f t="shared" si="5"/>
        <v>52.163205422979907</v>
      </c>
      <c r="V69" s="259">
        <f t="shared" si="6"/>
        <v>80.717146954658901</v>
      </c>
    </row>
    <row r="70" spans="11:22" ht="15.75" thickBot="1" x14ac:dyDescent="0.3">
      <c r="K70" s="61" t="s">
        <v>171</v>
      </c>
      <c r="L70" s="253">
        <v>91</v>
      </c>
      <c r="M70" s="155" t="s">
        <v>172</v>
      </c>
      <c r="N70" s="250">
        <f t="shared" si="41"/>
        <v>0</v>
      </c>
      <c r="O70" s="250">
        <f t="shared" si="42"/>
        <v>150</v>
      </c>
      <c r="P70" s="250">
        <f t="shared" si="43"/>
        <v>138</v>
      </c>
      <c r="Q70" s="155" t="s">
        <v>173</v>
      </c>
      <c r="R70" s="61" t="s">
        <v>174</v>
      </c>
      <c r="S70" s="61" t="s">
        <v>5</v>
      </c>
      <c r="T70" s="255"/>
      <c r="U70" s="259">
        <f t="shared" si="5"/>
        <v>115.90081966923272</v>
      </c>
      <c r="V70" s="259">
        <f t="shared" si="6"/>
        <v>181.01825702121872</v>
      </c>
    </row>
    <row r="71" spans="11:22" ht="15.75" thickBot="1" x14ac:dyDescent="0.3">
      <c r="K71" s="7"/>
      <c r="L71" s="252"/>
      <c r="M71" s="113"/>
      <c r="N71" s="250">
        <f t="shared" si="41"/>
        <v>0</v>
      </c>
      <c r="O71" s="250">
        <f t="shared" si="42"/>
        <v>0</v>
      </c>
      <c r="P71" s="250">
        <f t="shared" si="43"/>
        <v>0</v>
      </c>
      <c r="Q71" s="113"/>
      <c r="R71" s="7"/>
      <c r="S71" s="7"/>
      <c r="T71" s="255"/>
      <c r="U71" s="259">
        <f t="shared" si="5"/>
        <v>271.75908448476935</v>
      </c>
      <c r="V71" s="259">
        <f t="shared" si="6"/>
        <v>492.64269823574978</v>
      </c>
    </row>
    <row r="72" spans="11:22" ht="15.75" thickBot="1" x14ac:dyDescent="0.3">
      <c r="K72" s="62" t="s">
        <v>175</v>
      </c>
      <c r="L72" s="253">
        <v>53</v>
      </c>
      <c r="M72" s="156" t="s">
        <v>176</v>
      </c>
      <c r="N72" s="250">
        <f t="shared" si="41"/>
        <v>115</v>
      </c>
      <c r="O72" s="250">
        <f t="shared" si="42"/>
        <v>213</v>
      </c>
      <c r="P72" s="250">
        <f t="shared" si="43"/>
        <v>148</v>
      </c>
      <c r="Q72" s="218">
        <v>115213148</v>
      </c>
      <c r="R72" s="62" t="s">
        <v>177</v>
      </c>
      <c r="S72" s="62" t="s">
        <v>5</v>
      </c>
      <c r="T72" s="255"/>
      <c r="U72" s="259">
        <f t="shared" si="5"/>
        <v>30.215889859476256</v>
      </c>
      <c r="V72" s="259">
        <f>SQRT((2+(($U$2+N72)/2)/256)*($U$2-N72)^2 + 4*($V$2-O72)^2 + (2+(255-(($U$2+N72)/2))/256)*($W$2-P72)^2)</f>
        <v>56.191306183652642</v>
      </c>
    </row>
    <row r="73" spans="11:22" ht="15.75" thickBot="1" x14ac:dyDescent="0.3">
      <c r="K73" s="63" t="s">
        <v>178</v>
      </c>
      <c r="L73" s="253">
        <v>61</v>
      </c>
      <c r="M73" s="157" t="s">
        <v>179</v>
      </c>
      <c r="N73" s="250">
        <v>110</v>
      </c>
      <c r="O73" s="250">
        <v>215</v>
      </c>
      <c r="P73" s="250">
        <f t="shared" si="43"/>
        <v>74</v>
      </c>
      <c r="Q73" s="157" t="s">
        <v>180</v>
      </c>
      <c r="R73" s="63" t="s">
        <v>181</v>
      </c>
      <c r="S73" s="63" t="s">
        <v>5</v>
      </c>
      <c r="T73" s="255"/>
      <c r="U73" s="259">
        <f t="shared" si="5"/>
        <v>93.765665357848334</v>
      </c>
      <c r="V73" s="259">
        <f t="shared" si="6"/>
        <v>153.60313107160283</v>
      </c>
    </row>
    <row r="74" spans="11:22" ht="15.75" thickBot="1" x14ac:dyDescent="0.3">
      <c r="K74" s="64" t="s">
        <v>182</v>
      </c>
      <c r="L74" s="253">
        <v>80</v>
      </c>
      <c r="M74" s="158" t="s">
        <v>183</v>
      </c>
      <c r="N74" s="250">
        <v>70</v>
      </c>
      <c r="O74" s="250">
        <v>200</v>
      </c>
      <c r="P74" s="250">
        <v>80</v>
      </c>
      <c r="Q74" s="158" t="s">
        <v>184</v>
      </c>
      <c r="R74" s="64" t="s">
        <v>185</v>
      </c>
      <c r="S74" s="64" t="s">
        <v>5</v>
      </c>
      <c r="T74" s="255"/>
      <c r="U74" s="259">
        <f t="shared" si="5"/>
        <v>92.048900047746358</v>
      </c>
      <c r="V74" s="259">
        <f t="shared" si="6"/>
        <v>149.11887036857541</v>
      </c>
    </row>
    <row r="75" spans="11:22" ht="15.75" thickBot="1" x14ac:dyDescent="0.3">
      <c r="K75" s="65" t="s">
        <v>186</v>
      </c>
      <c r="L75" s="253">
        <v>99</v>
      </c>
      <c r="M75" s="159" t="s">
        <v>187</v>
      </c>
      <c r="N75" s="250">
        <v>0</v>
      </c>
      <c r="O75" s="250">
        <v>150</v>
      </c>
      <c r="P75" s="250">
        <v>84</v>
      </c>
      <c r="Q75" s="159" t="s">
        <v>188</v>
      </c>
      <c r="R75" s="65">
        <v>9654</v>
      </c>
      <c r="S75" s="65" t="s">
        <v>5</v>
      </c>
      <c r="T75" s="255"/>
      <c r="U75" s="259">
        <f t="shared" si="5"/>
        <v>138.4088147481944</v>
      </c>
      <c r="V75" s="259">
        <f t="shared" si="6"/>
        <v>220.75371599363848</v>
      </c>
    </row>
    <row r="76" spans="11:22" ht="15.75" thickBot="1" x14ac:dyDescent="0.3">
      <c r="K76" s="66" t="s">
        <v>189</v>
      </c>
      <c r="L76" s="253">
        <v>10</v>
      </c>
      <c r="M76" s="160" t="s">
        <v>190</v>
      </c>
      <c r="N76" s="250">
        <f t="shared" si="41"/>
        <v>16</v>
      </c>
      <c r="O76" s="250">
        <f t="shared" si="42"/>
        <v>131</v>
      </c>
      <c r="P76" s="250">
        <f t="shared" si="43"/>
        <v>85</v>
      </c>
      <c r="Q76" s="160" t="s">
        <v>191</v>
      </c>
      <c r="R76" s="66">
        <v>108355</v>
      </c>
      <c r="S76" s="66" t="s">
        <v>5</v>
      </c>
      <c r="T76" s="255"/>
      <c r="U76" s="259">
        <f t="shared" ref="U76:U99" si="44">SQRT(($U$2-N76)^2+($V$2-O76)^2+($W$2-P76)^2)</f>
        <v>133.06013678032951</v>
      </c>
      <c r="V76" s="259">
        <f t="shared" ref="V76:V99" si="45">SQRT((2+(($U$2+N76)/2)/256)*($U$2-N76)^2 + 4*($V$2-O76)^2 + (2+(255-(($U$2+N76)/2))/256)*($W$2-P76)^2)</f>
        <v>220.90175630243414</v>
      </c>
    </row>
    <row r="77" spans="11:22" ht="15.75" thickBot="1" x14ac:dyDescent="0.3">
      <c r="K77" s="7"/>
      <c r="L77" s="252"/>
      <c r="M77" s="113"/>
      <c r="N77" s="250">
        <f t="shared" si="41"/>
        <v>0</v>
      </c>
      <c r="O77" s="250">
        <f t="shared" si="42"/>
        <v>0</v>
      </c>
      <c r="P77" s="250">
        <f t="shared" si="43"/>
        <v>0</v>
      </c>
      <c r="Q77" s="113"/>
      <c r="R77" s="7"/>
      <c r="S77" s="7"/>
      <c r="T77" s="255"/>
      <c r="U77" s="259">
        <f t="shared" si="44"/>
        <v>271.75908448476935</v>
      </c>
      <c r="V77" s="259">
        <f t="shared" si="45"/>
        <v>492.64269823574978</v>
      </c>
    </row>
    <row r="78" spans="11:22" ht="15.75" thickBot="1" x14ac:dyDescent="0.3">
      <c r="K78" s="67" t="s">
        <v>192</v>
      </c>
      <c r="L78" s="253">
        <v>97</v>
      </c>
      <c r="M78" s="161" t="s">
        <v>193</v>
      </c>
      <c r="N78" s="250">
        <f t="shared" si="41"/>
        <v>203</v>
      </c>
      <c r="O78" s="250">
        <f t="shared" si="42"/>
        <v>215</v>
      </c>
      <c r="P78" s="250">
        <f t="shared" si="43"/>
        <v>53</v>
      </c>
      <c r="Q78" s="161" t="s">
        <v>194</v>
      </c>
      <c r="R78" s="67" t="s">
        <v>195</v>
      </c>
      <c r="S78" s="67" t="s">
        <v>5</v>
      </c>
      <c r="T78" s="255"/>
      <c r="U78" s="259">
        <f t="shared" si="44"/>
        <v>149.68633872200897</v>
      </c>
      <c r="V78" s="259">
        <f t="shared" si="45"/>
        <v>238.0744286851278</v>
      </c>
    </row>
    <row r="79" spans="11:22" ht="15.75" thickBot="1" x14ac:dyDescent="0.3">
      <c r="K79" s="68" t="s">
        <v>196</v>
      </c>
      <c r="L79" s="253">
        <v>179</v>
      </c>
      <c r="M79" s="162" t="s">
        <v>197</v>
      </c>
      <c r="N79" s="250">
        <f t="shared" si="41"/>
        <v>60</v>
      </c>
      <c r="O79" s="250">
        <f t="shared" si="42"/>
        <v>97</v>
      </c>
      <c r="P79" s="250">
        <f t="shared" si="43"/>
        <v>79</v>
      </c>
      <c r="Q79" s="162" t="s">
        <v>198</v>
      </c>
      <c r="R79" s="68" t="s">
        <v>199</v>
      </c>
      <c r="S79" s="68" t="s">
        <v>5</v>
      </c>
      <c r="T79" s="255"/>
      <c r="U79" s="259">
        <f t="shared" si="44"/>
        <v>133.43537761778171</v>
      </c>
      <c r="V79" s="259">
        <f t="shared" si="45"/>
        <v>240.99448904487423</v>
      </c>
    </row>
    <row r="80" spans="11:22" ht="15.75" thickBot="1" x14ac:dyDescent="0.3">
      <c r="K80" s="7"/>
      <c r="L80" s="252"/>
      <c r="M80" s="113"/>
      <c r="N80" s="250">
        <f t="shared" si="41"/>
        <v>0</v>
      </c>
      <c r="O80" s="250">
        <f t="shared" si="42"/>
        <v>0</v>
      </c>
      <c r="P80" s="250">
        <f t="shared" si="43"/>
        <v>0</v>
      </c>
      <c r="Q80" s="113"/>
      <c r="R80" s="7"/>
      <c r="S80" s="7"/>
      <c r="T80" s="255"/>
      <c r="U80" s="259">
        <f t="shared" si="44"/>
        <v>271.75908448476935</v>
      </c>
      <c r="V80" s="259">
        <f t="shared" si="45"/>
        <v>492.64269823574978</v>
      </c>
    </row>
    <row r="81" spans="11:22" ht="15.75" thickBot="1" x14ac:dyDescent="0.3">
      <c r="K81" s="69" t="s">
        <v>200</v>
      </c>
      <c r="L81" s="253">
        <v>49</v>
      </c>
      <c r="M81" s="163" t="s">
        <v>201</v>
      </c>
      <c r="N81" s="250">
        <f t="shared" si="41"/>
        <v>0</v>
      </c>
      <c r="O81" s="250">
        <f t="shared" si="42"/>
        <v>172</v>
      </c>
      <c r="P81" s="250">
        <f t="shared" si="43"/>
        <v>74</v>
      </c>
      <c r="Q81" s="163" t="s">
        <v>202</v>
      </c>
      <c r="R81" s="70" t="s">
        <v>203</v>
      </c>
      <c r="S81" s="69" t="s">
        <v>5</v>
      </c>
      <c r="T81" s="256"/>
      <c r="U81" s="259">
        <f t="shared" si="44"/>
        <v>140.08925726121899</v>
      </c>
      <c r="V81" s="259">
        <f t="shared" si="45"/>
        <v>220.33068187385976</v>
      </c>
    </row>
    <row r="82" spans="11:22" ht="15.75" thickBot="1" x14ac:dyDescent="0.3">
      <c r="K82" s="71" t="s">
        <v>204</v>
      </c>
      <c r="L82" s="253">
        <v>47</v>
      </c>
      <c r="M82" s="164" t="s">
        <v>205</v>
      </c>
      <c r="N82" s="250">
        <f t="shared" si="41"/>
        <v>189</v>
      </c>
      <c r="O82" s="250">
        <f t="shared" si="42"/>
        <v>210</v>
      </c>
      <c r="P82" s="250">
        <f t="shared" si="43"/>
        <v>0</v>
      </c>
      <c r="Q82" s="164" t="s">
        <v>206</v>
      </c>
      <c r="R82" s="71" t="s">
        <v>207</v>
      </c>
      <c r="S82" s="71" t="s">
        <v>5</v>
      </c>
      <c r="T82" s="257"/>
      <c r="U82" s="259">
        <f t="shared" si="44"/>
        <v>185.00270268296083</v>
      </c>
      <c r="V82" s="259">
        <f t="shared" si="45"/>
        <v>290.85643674650731</v>
      </c>
    </row>
    <row r="83" spans="11:22" ht="15.75" thickBot="1" x14ac:dyDescent="0.3">
      <c r="K83" s="72" t="s">
        <v>208</v>
      </c>
      <c r="L83" s="253">
        <v>50</v>
      </c>
      <c r="M83" s="165" t="s">
        <v>209</v>
      </c>
      <c r="N83" s="250">
        <f t="shared" si="41"/>
        <v>241</v>
      </c>
      <c r="O83" s="250">
        <f t="shared" si="42"/>
        <v>82</v>
      </c>
      <c r="P83" s="250">
        <f t="shared" si="43"/>
        <v>137</v>
      </c>
      <c r="Q83" s="165" t="s">
        <v>210</v>
      </c>
      <c r="R83" s="72" t="s">
        <v>211</v>
      </c>
      <c r="S83" s="72" t="s">
        <v>5</v>
      </c>
      <c r="T83" s="257"/>
      <c r="U83" s="259">
        <f t="shared" si="44"/>
        <v>174.36456061941027</v>
      </c>
      <c r="V83" s="259">
        <f t="shared" si="45"/>
        <v>310.30274405610726</v>
      </c>
    </row>
    <row r="84" spans="11:22" ht="15.75" thickBot="1" x14ac:dyDescent="0.3">
      <c r="K84" s="73" t="s">
        <v>212</v>
      </c>
      <c r="L84" s="253">
        <v>48</v>
      </c>
      <c r="M84" s="166" t="s">
        <v>213</v>
      </c>
      <c r="N84" s="250">
        <f t="shared" si="41"/>
        <v>255</v>
      </c>
      <c r="O84" s="250">
        <f t="shared" si="42"/>
        <v>141</v>
      </c>
      <c r="P84" s="250">
        <f t="shared" si="43"/>
        <v>46</v>
      </c>
      <c r="Q84" s="166" t="s">
        <v>214</v>
      </c>
      <c r="R84" s="73" t="s">
        <v>215</v>
      </c>
      <c r="S84" s="73" t="s">
        <v>5</v>
      </c>
      <c r="T84" s="257"/>
      <c r="U84" s="259">
        <f t="shared" si="44"/>
        <v>196.03316046016297</v>
      </c>
      <c r="V84" s="259">
        <f t="shared" si="45"/>
        <v>318.07474124115072</v>
      </c>
    </row>
    <row r="85" spans="11:22" ht="15.75" thickBot="1" x14ac:dyDescent="0.3">
      <c r="K85" s="74" t="s">
        <v>331</v>
      </c>
      <c r="L85" s="253">
        <v>300</v>
      </c>
      <c r="M85" s="167" t="s">
        <v>217</v>
      </c>
      <c r="N85" s="250">
        <f t="shared" si="41"/>
        <v>34</v>
      </c>
      <c r="O85" s="250">
        <f t="shared" si="42"/>
        <v>85</v>
      </c>
      <c r="P85" s="250">
        <f t="shared" si="43"/>
        <v>183</v>
      </c>
      <c r="Q85" s="167" t="s">
        <v>218</v>
      </c>
      <c r="R85" s="74" t="s">
        <v>329</v>
      </c>
      <c r="S85" s="74" t="s">
        <v>5</v>
      </c>
      <c r="T85" s="258"/>
      <c r="U85" s="259">
        <f t="shared" si="44"/>
        <v>127.91012469699183</v>
      </c>
      <c r="V85" s="259">
        <f t="shared" si="45"/>
        <v>236.71159436379537</v>
      </c>
    </row>
    <row r="86" spans="11:22" ht="15.75" thickBot="1" x14ac:dyDescent="0.3">
      <c r="K86" s="7"/>
      <c r="L86" s="252"/>
      <c r="M86" s="113"/>
      <c r="N86" s="250">
        <f t="shared" si="41"/>
        <v>0</v>
      </c>
      <c r="O86" s="250">
        <f t="shared" si="42"/>
        <v>0</v>
      </c>
      <c r="P86" s="250">
        <f t="shared" si="43"/>
        <v>0</v>
      </c>
      <c r="Q86" s="113"/>
      <c r="R86" s="7"/>
      <c r="S86" s="7"/>
      <c r="T86" s="255"/>
      <c r="U86" s="259">
        <f t="shared" si="44"/>
        <v>271.75908448476935</v>
      </c>
      <c r="V86" s="259">
        <f t="shared" si="45"/>
        <v>492.64269823574978</v>
      </c>
    </row>
    <row r="87" spans="11:22" ht="15.75" thickBot="1" x14ac:dyDescent="0.3">
      <c r="K87" s="75" t="s">
        <v>219</v>
      </c>
      <c r="L87" s="253">
        <v>105</v>
      </c>
      <c r="M87" s="168" t="s">
        <v>220</v>
      </c>
      <c r="N87" s="250">
        <f t="shared" si="41"/>
        <v>119</v>
      </c>
      <c r="O87" s="250">
        <f t="shared" si="42"/>
        <v>123</v>
      </c>
      <c r="P87" s="250">
        <f t="shared" si="43"/>
        <v>129</v>
      </c>
      <c r="Q87" s="219">
        <v>129137142</v>
      </c>
      <c r="R87" s="75" t="s">
        <v>221</v>
      </c>
      <c r="S87" s="75" t="s">
        <v>5</v>
      </c>
      <c r="T87" s="257"/>
      <c r="U87" s="259">
        <f t="shared" si="44"/>
        <v>75.82875444051551</v>
      </c>
      <c r="V87" s="259">
        <f t="shared" si="45"/>
        <v>144.80384091504618</v>
      </c>
    </row>
    <row r="88" spans="11:22" ht="15.75" thickBot="1" x14ac:dyDescent="0.3">
      <c r="K88" s="76" t="s">
        <v>222</v>
      </c>
      <c r="L88" s="253">
        <v>85</v>
      </c>
      <c r="M88" s="169" t="s">
        <v>223</v>
      </c>
      <c r="N88" s="250">
        <f t="shared" si="41"/>
        <v>181</v>
      </c>
      <c r="O88" s="250">
        <f t="shared" si="42"/>
        <v>127</v>
      </c>
      <c r="P88" s="250">
        <f t="shared" si="43"/>
        <v>69</v>
      </c>
      <c r="Q88" s="169" t="s">
        <v>224</v>
      </c>
      <c r="R88" s="76" t="s">
        <v>225</v>
      </c>
      <c r="S88" s="76" t="s">
        <v>5</v>
      </c>
      <c r="T88" s="257"/>
      <c r="U88" s="259">
        <f t="shared" si="44"/>
        <v>135.99264686004167</v>
      </c>
      <c r="V88" s="259">
        <f t="shared" si="45"/>
        <v>227.50799264806062</v>
      </c>
    </row>
    <row r="89" spans="11:22" ht="15.75" thickBot="1" x14ac:dyDescent="0.3">
      <c r="K89" s="77" t="s">
        <v>332</v>
      </c>
      <c r="L89" s="253">
        <v>301</v>
      </c>
      <c r="M89" s="170" t="s">
        <v>226</v>
      </c>
      <c r="N89" s="250">
        <f t="shared" si="41"/>
        <v>151</v>
      </c>
      <c r="O89" s="250">
        <f t="shared" si="42"/>
        <v>99</v>
      </c>
      <c r="P89" s="250">
        <f t="shared" si="43"/>
        <v>78</v>
      </c>
      <c r="Q89" s="170" t="s">
        <v>227</v>
      </c>
      <c r="R89" s="77" t="s">
        <v>228</v>
      </c>
      <c r="S89" s="77" t="s">
        <v>5</v>
      </c>
      <c r="T89" s="256"/>
      <c r="U89" s="259">
        <f t="shared" si="44"/>
        <v>132.36691429507601</v>
      </c>
      <c r="V89" s="259">
        <f t="shared" si="45"/>
        <v>236.45955074943578</v>
      </c>
    </row>
    <row r="90" spans="11:22" ht="15.75" thickBot="1" x14ac:dyDescent="0.3">
      <c r="K90" s="7"/>
      <c r="L90" s="252"/>
      <c r="M90" s="113"/>
      <c r="N90" s="250">
        <f t="shared" si="41"/>
        <v>0</v>
      </c>
      <c r="O90" s="250">
        <f t="shared" si="42"/>
        <v>0</v>
      </c>
      <c r="P90" s="250">
        <f t="shared" si="43"/>
        <v>0</v>
      </c>
      <c r="Q90" s="113"/>
      <c r="R90" s="7"/>
      <c r="S90" s="7"/>
      <c r="T90" s="255"/>
      <c r="U90" s="259">
        <f t="shared" si="44"/>
        <v>271.75908448476935</v>
      </c>
      <c r="V90" s="259">
        <f t="shared" si="45"/>
        <v>492.64269823574978</v>
      </c>
    </row>
    <row r="91" spans="11:22" ht="15.75" thickBot="1" x14ac:dyDescent="0.3">
      <c r="K91" s="78" t="s">
        <v>333</v>
      </c>
      <c r="L91" s="253">
        <v>302</v>
      </c>
      <c r="M91" s="171" t="s">
        <v>229</v>
      </c>
      <c r="N91" s="250">
        <f t="shared" si="41"/>
        <v>216</v>
      </c>
      <c r="O91" s="250">
        <f t="shared" si="42"/>
        <v>214</v>
      </c>
      <c r="P91" s="250">
        <f t="shared" si="43"/>
        <v>199</v>
      </c>
      <c r="Q91" s="171" t="s">
        <v>230</v>
      </c>
      <c r="R91" s="78" t="s">
        <v>231</v>
      </c>
      <c r="S91" s="78" t="s">
        <v>5</v>
      </c>
      <c r="T91" s="257"/>
      <c r="U91" s="259">
        <f t="shared" si="44"/>
        <v>118.11011811017717</v>
      </c>
      <c r="V91" s="259">
        <f t="shared" si="45"/>
        <v>192.89782350379176</v>
      </c>
    </row>
    <row r="92" spans="11:22" ht="15.75" thickBot="1" x14ac:dyDescent="0.3">
      <c r="K92" s="79" t="s">
        <v>334</v>
      </c>
      <c r="L92" s="253">
        <v>303</v>
      </c>
      <c r="M92" s="172" t="s">
        <v>232</v>
      </c>
      <c r="N92" s="250">
        <f t="shared" si="41"/>
        <v>227</v>
      </c>
      <c r="O92" s="250">
        <f t="shared" si="42"/>
        <v>123</v>
      </c>
      <c r="P92" s="250">
        <f t="shared" si="43"/>
        <v>173</v>
      </c>
      <c r="Q92" s="172" t="s">
        <v>233</v>
      </c>
      <c r="R92" s="79" t="s">
        <v>234</v>
      </c>
      <c r="S92" s="79" t="s">
        <v>5</v>
      </c>
      <c r="T92" s="257"/>
      <c r="U92" s="259">
        <f t="shared" si="44"/>
        <v>138.1231334715514</v>
      </c>
      <c r="V92" s="259">
        <f t="shared" si="45"/>
        <v>237.52551672136195</v>
      </c>
    </row>
    <row r="93" spans="11:22" ht="15.75" thickBot="1" x14ac:dyDescent="0.3">
      <c r="K93" s="80" t="s">
        <v>235</v>
      </c>
      <c r="L93" s="253">
        <v>104</v>
      </c>
      <c r="M93" s="173" t="s">
        <v>236</v>
      </c>
      <c r="N93" s="250">
        <f t="shared" si="41"/>
        <v>204</v>
      </c>
      <c r="O93" s="250">
        <f t="shared" si="42"/>
        <v>164</v>
      </c>
      <c r="P93" s="250">
        <f t="shared" si="43"/>
        <v>155</v>
      </c>
      <c r="Q93" s="220">
        <v>204164155</v>
      </c>
      <c r="R93" s="80" t="s">
        <v>237</v>
      </c>
      <c r="S93" s="80" t="s">
        <v>5</v>
      </c>
      <c r="T93" s="257"/>
      <c r="U93" s="259">
        <f t="shared" si="44"/>
        <v>101.5381701627521</v>
      </c>
      <c r="V93" s="259">
        <f t="shared" si="45"/>
        <v>166.48291954431841</v>
      </c>
    </row>
    <row r="94" spans="11:22" ht="15.75" thickBot="1" x14ac:dyDescent="0.3">
      <c r="K94" s="81" t="s">
        <v>238</v>
      </c>
      <c r="L94" s="253">
        <v>100</v>
      </c>
      <c r="M94" s="174" t="s">
        <v>239</v>
      </c>
      <c r="N94" s="250">
        <f t="shared" si="41"/>
        <v>233</v>
      </c>
      <c r="O94" s="250">
        <f t="shared" si="42"/>
        <v>149</v>
      </c>
      <c r="P94" s="250">
        <f t="shared" si="43"/>
        <v>145</v>
      </c>
      <c r="Q94" s="221">
        <v>233149145</v>
      </c>
      <c r="R94" s="81" t="s">
        <v>240</v>
      </c>
      <c r="S94" s="81" t="s">
        <v>5</v>
      </c>
      <c r="T94" s="257"/>
      <c r="U94" s="259">
        <f t="shared" si="44"/>
        <v>134.49907062875937</v>
      </c>
      <c r="V94" s="259">
        <f t="shared" si="45"/>
        <v>224.00832678440773</v>
      </c>
    </row>
    <row r="95" spans="11:22" ht="15.75" thickBot="1" x14ac:dyDescent="0.3">
      <c r="K95" s="82" t="s">
        <v>241</v>
      </c>
      <c r="L95" s="253">
        <v>103</v>
      </c>
      <c r="M95" s="175" t="s">
        <v>242</v>
      </c>
      <c r="N95" s="250">
        <f t="shared" si="41"/>
        <v>209</v>
      </c>
      <c r="O95" s="250">
        <f t="shared" si="42"/>
        <v>198</v>
      </c>
      <c r="P95" s="250">
        <f t="shared" si="43"/>
        <v>110</v>
      </c>
      <c r="Q95" s="222">
        <v>209198110</v>
      </c>
      <c r="R95" s="82" t="s">
        <v>243</v>
      </c>
      <c r="S95" s="82" t="s">
        <v>5</v>
      </c>
      <c r="T95" s="257"/>
      <c r="U95" s="259">
        <f t="shared" si="44"/>
        <v>116.64475984801032</v>
      </c>
      <c r="V95" s="259">
        <f t="shared" si="45"/>
        <v>187.11388890693016</v>
      </c>
    </row>
    <row r="96" spans="11:22" ht="15.75" thickBot="1" x14ac:dyDescent="0.3">
      <c r="K96" s="83" t="s">
        <v>244</v>
      </c>
      <c r="L96" s="253">
        <v>102</v>
      </c>
      <c r="M96" s="176" t="s">
        <v>245</v>
      </c>
      <c r="N96" s="250">
        <f t="shared" si="41"/>
        <v>132</v>
      </c>
      <c r="O96" s="250">
        <f t="shared" si="42"/>
        <v>176</v>
      </c>
      <c r="P96" s="250">
        <f t="shared" si="43"/>
        <v>149</v>
      </c>
      <c r="Q96" s="223">
        <v>132176149</v>
      </c>
      <c r="R96" s="84" t="s">
        <v>246</v>
      </c>
      <c r="S96" s="84" t="s">
        <v>5</v>
      </c>
      <c r="T96" s="257"/>
      <c r="U96" s="259">
        <f t="shared" si="44"/>
        <v>32.710854467592249</v>
      </c>
      <c r="V96" s="259">
        <f t="shared" si="45"/>
        <v>53.960778580372612</v>
      </c>
    </row>
    <row r="97" spans="11:22" ht="15.75" thickBot="1" x14ac:dyDescent="0.3">
      <c r="K97" s="85" t="s">
        <v>247</v>
      </c>
      <c r="L97" s="253">
        <v>101</v>
      </c>
      <c r="M97" s="177" t="s">
        <v>248</v>
      </c>
      <c r="N97" s="250">
        <v>130</v>
      </c>
      <c r="O97" s="250">
        <v>185</v>
      </c>
      <c r="P97" s="250">
        <v>179</v>
      </c>
      <c r="Q97" s="224">
        <v>130185179</v>
      </c>
      <c r="R97" s="85" t="s">
        <v>249</v>
      </c>
      <c r="S97" s="85" t="s">
        <v>5</v>
      </c>
      <c r="T97" s="257"/>
      <c r="U97" s="259">
        <f t="shared" si="44"/>
        <v>28.583211855912904</v>
      </c>
      <c r="V97" s="259">
        <f t="shared" si="45"/>
        <v>45.298014926153222</v>
      </c>
    </row>
    <row r="98" spans="11:22" ht="15.75" thickBot="1" x14ac:dyDescent="0.3">
      <c r="K98" s="85" t="s">
        <v>338</v>
      </c>
      <c r="L98" s="253">
        <v>998</v>
      </c>
      <c r="M98" s="177" t="s">
        <v>337</v>
      </c>
      <c r="N98" s="250">
        <v>0</v>
      </c>
      <c r="O98" s="250">
        <v>255</v>
      </c>
      <c r="P98" s="250">
        <v>0</v>
      </c>
      <c r="Q98" s="224"/>
      <c r="R98" s="85"/>
      <c r="S98" s="85"/>
      <c r="T98" s="257"/>
      <c r="U98" s="259">
        <f t="shared" si="44"/>
        <v>206.12617495116916</v>
      </c>
      <c r="V98" s="259">
        <f t="shared" si="45"/>
        <v>342.39863919852252</v>
      </c>
    </row>
    <row r="99" spans="11:22" ht="15.75" thickBot="1" x14ac:dyDescent="0.3">
      <c r="K99" s="85" t="s">
        <v>335</v>
      </c>
      <c r="L99" s="253">
        <v>999</v>
      </c>
      <c r="M99" s="177" t="s">
        <v>336</v>
      </c>
      <c r="N99" s="250">
        <v>0</v>
      </c>
      <c r="O99" s="250">
        <v>240</v>
      </c>
      <c r="P99" s="250">
        <v>0</v>
      </c>
      <c r="Q99" s="224"/>
      <c r="R99" s="85"/>
      <c r="S99" s="85"/>
      <c r="T99" s="257"/>
      <c r="U99" s="259">
        <f t="shared" si="44"/>
        <v>201.82418091001881</v>
      </c>
      <c r="V99" s="259">
        <f t="shared" si="45"/>
        <v>331.98919880773229</v>
      </c>
    </row>
    <row r="100" spans="11:22" ht="15.75" thickBot="1" x14ac:dyDescent="0.3">
      <c r="K100" s="7"/>
      <c r="L100" s="252"/>
      <c r="M100" s="113"/>
      <c r="N100" s="250">
        <f t="shared" si="41"/>
        <v>0</v>
      </c>
      <c r="O100" s="250">
        <f t="shared" si="42"/>
        <v>0</v>
      </c>
      <c r="P100" s="250">
        <f t="shared" si="43"/>
        <v>0</v>
      </c>
      <c r="Q100" s="113"/>
      <c r="R100" s="7"/>
      <c r="S100" s="7"/>
      <c r="T100" s="255"/>
    </row>
    <row r="101" spans="11:22" ht="15.75" thickBot="1" x14ac:dyDescent="0.3">
      <c r="K101" s="86" t="s">
        <v>216</v>
      </c>
      <c r="L101" s="252"/>
      <c r="M101" s="178" t="s">
        <v>250</v>
      </c>
      <c r="N101" s="250">
        <f t="shared" si="41"/>
        <v>157</v>
      </c>
      <c r="O101" s="250">
        <f t="shared" si="42"/>
        <v>56</v>
      </c>
      <c r="P101" s="250">
        <f t="shared" si="43"/>
        <v>46</v>
      </c>
      <c r="Q101" s="178" t="s">
        <v>251</v>
      </c>
      <c r="R101" s="86" t="s">
        <v>252</v>
      </c>
      <c r="S101" s="86" t="s">
        <v>5</v>
      </c>
      <c r="T101" s="256" t="s">
        <v>253</v>
      </c>
    </row>
    <row r="102" spans="11:22" ht="15.75" thickBot="1" x14ac:dyDescent="0.3">
      <c r="K102" s="87" t="s">
        <v>216</v>
      </c>
      <c r="L102" s="252"/>
      <c r="M102" s="179" t="s">
        <v>254</v>
      </c>
      <c r="N102" s="250">
        <f t="shared" si="41"/>
        <v>0</v>
      </c>
      <c r="O102" s="250">
        <f t="shared" si="42"/>
        <v>105</v>
      </c>
      <c r="P102" s="250">
        <f t="shared" si="43"/>
        <v>192</v>
      </c>
      <c r="Q102" s="225">
        <v>12104179</v>
      </c>
      <c r="R102" s="87" t="s">
        <v>255</v>
      </c>
      <c r="S102" s="87" t="s">
        <v>5</v>
      </c>
      <c r="T102" s="257" t="s">
        <v>253</v>
      </c>
    </row>
    <row r="103" spans="11:22" ht="15.75" thickBot="1" x14ac:dyDescent="0.3">
      <c r="K103" s="88" t="s">
        <v>216</v>
      </c>
      <c r="L103" s="252"/>
      <c r="M103" s="180" t="s">
        <v>256</v>
      </c>
      <c r="N103" s="250">
        <f t="shared" si="41"/>
        <v>105</v>
      </c>
      <c r="O103" s="250">
        <f t="shared" si="42"/>
        <v>65</v>
      </c>
      <c r="P103" s="250">
        <f t="shared" si="43"/>
        <v>132</v>
      </c>
      <c r="Q103" s="180" t="s">
        <v>257</v>
      </c>
      <c r="R103" s="88">
        <v>694184</v>
      </c>
      <c r="S103" s="88" t="s">
        <v>5</v>
      </c>
      <c r="T103" s="257" t="s">
        <v>253</v>
      </c>
    </row>
    <row r="104" spans="11:22" ht="15.75" thickBot="1" x14ac:dyDescent="0.3">
      <c r="K104" s="89" t="s">
        <v>216</v>
      </c>
      <c r="L104" s="252"/>
      <c r="M104" s="181" t="s">
        <v>258</v>
      </c>
      <c r="N104" s="250">
        <f t="shared" ref="N104:N121" si="46">HEX2DEC(LEFT(R104,2))</f>
        <v>186</v>
      </c>
      <c r="O104" s="250">
        <f t="shared" ref="O104:O121" si="47">HEX2DEC(MID(R104,3,2))</f>
        <v>180</v>
      </c>
      <c r="P104" s="250">
        <f t="shared" ref="P104:P121" si="48">HEX2DEC(RIGHT(R104,2))</f>
        <v>86</v>
      </c>
      <c r="Q104" s="181" t="s">
        <v>259</v>
      </c>
      <c r="R104" s="89" t="s">
        <v>260</v>
      </c>
      <c r="S104" s="89" t="s">
        <v>5</v>
      </c>
      <c r="T104" s="257" t="s">
        <v>253</v>
      </c>
    </row>
    <row r="105" spans="11:22" ht="15.75" thickBot="1" x14ac:dyDescent="0.3">
      <c r="K105" s="90" t="s">
        <v>216</v>
      </c>
      <c r="L105" s="252"/>
      <c r="M105" s="182" t="s">
        <v>261</v>
      </c>
      <c r="N105" s="250">
        <f t="shared" si="46"/>
        <v>0</v>
      </c>
      <c r="O105" s="250">
        <f t="shared" si="47"/>
        <v>135</v>
      </c>
      <c r="P105" s="250">
        <f t="shared" si="48"/>
        <v>110</v>
      </c>
      <c r="Q105" s="226">
        <v>135110</v>
      </c>
      <c r="R105" s="90" t="s">
        <v>262</v>
      </c>
      <c r="S105" s="90" t="s">
        <v>5</v>
      </c>
      <c r="T105" s="257" t="s">
        <v>253</v>
      </c>
    </row>
    <row r="106" spans="11:22" ht="15.75" thickBot="1" x14ac:dyDescent="0.3">
      <c r="K106" s="91" t="s">
        <v>216</v>
      </c>
      <c r="L106" s="252"/>
      <c r="M106" s="183" t="s">
        <v>263</v>
      </c>
      <c r="N106" s="250">
        <f t="shared" si="46"/>
        <v>166</v>
      </c>
      <c r="O106" s="250">
        <f t="shared" si="47"/>
        <v>169</v>
      </c>
      <c r="P106" s="250">
        <f t="shared" si="48"/>
        <v>177</v>
      </c>
      <c r="Q106" s="227">
        <v>166169177</v>
      </c>
      <c r="R106" s="91" t="s">
        <v>264</v>
      </c>
      <c r="S106" s="91" t="s">
        <v>5</v>
      </c>
      <c r="T106" s="257" t="s">
        <v>253</v>
      </c>
    </row>
    <row r="107" spans="11:22" ht="15.75" thickBot="1" x14ac:dyDescent="0.3">
      <c r="K107" s="92" t="s">
        <v>216</v>
      </c>
      <c r="L107" s="252"/>
      <c r="M107" s="184" t="s">
        <v>265</v>
      </c>
      <c r="N107" s="250">
        <f t="shared" si="46"/>
        <v>56</v>
      </c>
      <c r="O107" s="250">
        <f t="shared" si="47"/>
        <v>55</v>
      </c>
      <c r="P107" s="250">
        <f t="shared" si="48"/>
        <v>55</v>
      </c>
      <c r="Q107" s="184" t="s">
        <v>266</v>
      </c>
      <c r="R107" s="92">
        <v>383737</v>
      </c>
      <c r="S107" s="92" t="s">
        <v>5</v>
      </c>
      <c r="T107" s="256" t="s">
        <v>253</v>
      </c>
    </row>
    <row r="108" spans="11:22" ht="15.75" thickBot="1" x14ac:dyDescent="0.3">
      <c r="K108" s="93" t="s">
        <v>216</v>
      </c>
      <c r="L108" s="252"/>
      <c r="M108" s="185" t="s">
        <v>267</v>
      </c>
      <c r="N108" s="250">
        <f t="shared" si="46"/>
        <v>208</v>
      </c>
      <c r="O108" s="250">
        <f t="shared" si="47"/>
        <v>219</v>
      </c>
      <c r="P108" s="250">
        <f t="shared" si="48"/>
        <v>222</v>
      </c>
      <c r="Q108" s="228">
        <v>208219222</v>
      </c>
      <c r="R108" s="93" t="s">
        <v>268</v>
      </c>
      <c r="S108" s="93" t="s">
        <v>5</v>
      </c>
      <c r="T108" s="257" t="s">
        <v>253</v>
      </c>
    </row>
    <row r="109" spans="11:22" ht="15.75" thickBot="1" x14ac:dyDescent="0.3">
      <c r="K109" s="94" t="s">
        <v>216</v>
      </c>
      <c r="L109" s="252"/>
      <c r="M109" s="186" t="s">
        <v>269</v>
      </c>
      <c r="N109" s="250">
        <f t="shared" si="46"/>
        <v>226</v>
      </c>
      <c r="O109" s="250">
        <f t="shared" si="47"/>
        <v>88</v>
      </c>
      <c r="P109" s="250">
        <f t="shared" si="48"/>
        <v>127</v>
      </c>
      <c r="Q109" s="186" t="s">
        <v>270</v>
      </c>
      <c r="R109" s="94" t="s">
        <v>271</v>
      </c>
      <c r="S109" s="94" t="s">
        <v>5</v>
      </c>
      <c r="T109" s="94" t="s">
        <v>253</v>
      </c>
    </row>
    <row r="110" spans="11:22" ht="15.75" thickBot="1" x14ac:dyDescent="0.3">
      <c r="K110" s="95" t="s">
        <v>216</v>
      </c>
      <c r="L110" s="252"/>
      <c r="M110" s="187" t="s">
        <v>272</v>
      </c>
      <c r="N110" s="250">
        <f t="shared" si="46"/>
        <v>155</v>
      </c>
      <c r="O110" s="250">
        <f t="shared" si="47"/>
        <v>175</v>
      </c>
      <c r="P110" s="250">
        <f t="shared" si="48"/>
        <v>158</v>
      </c>
      <c r="Q110" s="229">
        <v>155175158</v>
      </c>
      <c r="R110" s="95" t="s">
        <v>273</v>
      </c>
      <c r="S110" s="95" t="s">
        <v>5</v>
      </c>
      <c r="T110" s="95" t="s">
        <v>253</v>
      </c>
    </row>
    <row r="111" spans="11:22" ht="15.75" thickBot="1" x14ac:dyDescent="0.3">
      <c r="K111" s="96" t="s">
        <v>216</v>
      </c>
      <c r="L111" s="252"/>
      <c r="M111" s="188" t="s">
        <v>274</v>
      </c>
      <c r="N111" s="250">
        <f t="shared" si="46"/>
        <v>85</v>
      </c>
      <c r="O111" s="250">
        <f t="shared" si="47"/>
        <v>158</v>
      </c>
      <c r="P111" s="250">
        <f t="shared" si="48"/>
        <v>69</v>
      </c>
      <c r="Q111" s="188" t="s">
        <v>275</v>
      </c>
      <c r="R111" s="251" t="s">
        <v>330</v>
      </c>
      <c r="S111" s="96" t="s">
        <v>5</v>
      </c>
      <c r="T111" s="96" t="s">
        <v>253</v>
      </c>
    </row>
    <row r="112" spans="11:22" ht="15.75" thickBot="1" x14ac:dyDescent="0.3">
      <c r="K112" s="7"/>
      <c r="L112" s="252"/>
      <c r="M112" s="113"/>
      <c r="N112" s="250">
        <f t="shared" si="46"/>
        <v>0</v>
      </c>
      <c r="O112" s="250">
        <f t="shared" si="47"/>
        <v>0</v>
      </c>
      <c r="P112" s="250">
        <f t="shared" si="48"/>
        <v>0</v>
      </c>
      <c r="Q112" s="113"/>
      <c r="R112" s="7"/>
      <c r="S112" s="7"/>
      <c r="T112" s="7"/>
    </row>
    <row r="113" spans="11:20" ht="27" thickBot="1" x14ac:dyDescent="0.3">
      <c r="K113" s="97" t="s">
        <v>216</v>
      </c>
      <c r="L113" s="252"/>
      <c r="M113" s="189" t="s">
        <v>276</v>
      </c>
      <c r="N113" s="250">
        <f t="shared" si="46"/>
        <v>158</v>
      </c>
      <c r="O113" s="250">
        <f t="shared" si="47"/>
        <v>167</v>
      </c>
      <c r="P113" s="250">
        <f t="shared" si="48"/>
        <v>174</v>
      </c>
      <c r="Q113" s="230">
        <v>158167174</v>
      </c>
      <c r="R113" s="97" t="s">
        <v>277</v>
      </c>
      <c r="S113" s="97" t="s">
        <v>5</v>
      </c>
      <c r="T113" s="97" t="s">
        <v>278</v>
      </c>
    </row>
    <row r="114" spans="11:20" ht="27" thickBot="1" x14ac:dyDescent="0.3">
      <c r="K114" s="98" t="s">
        <v>339</v>
      </c>
      <c r="L114" s="252">
        <v>310</v>
      </c>
      <c r="M114" s="190" t="s">
        <v>279</v>
      </c>
      <c r="N114" s="250">
        <f t="shared" si="46"/>
        <v>124</v>
      </c>
      <c r="O114" s="250">
        <f t="shared" si="47"/>
        <v>210</v>
      </c>
      <c r="P114" s="250">
        <f t="shared" si="48"/>
        <v>242</v>
      </c>
      <c r="Q114" s="231">
        <v>124210242</v>
      </c>
      <c r="R114" s="98" t="s">
        <v>280</v>
      </c>
      <c r="S114" s="98" t="s">
        <v>5</v>
      </c>
      <c r="T114" s="98" t="s">
        <v>278</v>
      </c>
    </row>
    <row r="115" spans="11:20" ht="27" thickBot="1" x14ac:dyDescent="0.3">
      <c r="K115" s="99" t="s">
        <v>216</v>
      </c>
      <c r="L115" s="252"/>
      <c r="M115" s="191" t="s">
        <v>281</v>
      </c>
      <c r="N115" s="250">
        <f t="shared" si="46"/>
        <v>0</v>
      </c>
      <c r="O115" s="250">
        <f t="shared" si="47"/>
        <v>109</v>
      </c>
      <c r="P115" s="250">
        <f t="shared" si="48"/>
        <v>139</v>
      </c>
      <c r="Q115" s="191" t="s">
        <v>282</v>
      </c>
      <c r="R115" s="99" t="s">
        <v>283</v>
      </c>
      <c r="S115" s="99" t="s">
        <v>5</v>
      </c>
      <c r="T115" s="99" t="s">
        <v>278</v>
      </c>
    </row>
    <row r="116" spans="11:20" ht="15.75" thickBot="1" x14ac:dyDescent="0.3">
      <c r="K116" s="7"/>
      <c r="L116" s="252"/>
      <c r="M116" s="113"/>
      <c r="N116" s="250">
        <f t="shared" si="46"/>
        <v>0</v>
      </c>
      <c r="O116" s="250">
        <f t="shared" si="47"/>
        <v>0</v>
      </c>
      <c r="P116" s="250">
        <f t="shared" si="48"/>
        <v>0</v>
      </c>
      <c r="Q116" s="113"/>
      <c r="R116" s="7"/>
      <c r="S116" s="7"/>
      <c r="T116" s="7"/>
    </row>
    <row r="117" spans="11:20" ht="27" thickBot="1" x14ac:dyDescent="0.3">
      <c r="K117" s="100" t="s">
        <v>284</v>
      </c>
      <c r="L117" s="252">
        <v>997</v>
      </c>
      <c r="M117" s="192" t="s">
        <v>285</v>
      </c>
      <c r="N117" s="250">
        <v>175</v>
      </c>
      <c r="O117" s="250">
        <v>195</v>
      </c>
      <c r="P117" s="250">
        <v>157</v>
      </c>
      <c r="Q117" s="232">
        <v>175195157</v>
      </c>
      <c r="R117" s="100" t="s">
        <v>286</v>
      </c>
      <c r="S117" s="100" t="s">
        <v>5</v>
      </c>
      <c r="T117" s="100" t="s">
        <v>287</v>
      </c>
    </row>
    <row r="118" spans="11:20" ht="27" thickBot="1" x14ac:dyDescent="0.3">
      <c r="K118" s="101" t="s">
        <v>216</v>
      </c>
      <c r="L118" s="252"/>
      <c r="M118" s="193" t="s">
        <v>288</v>
      </c>
      <c r="N118" s="250">
        <f t="shared" si="46"/>
        <v>86</v>
      </c>
      <c r="O118" s="250">
        <f t="shared" si="47"/>
        <v>172</v>
      </c>
      <c r="P118" s="250">
        <f t="shared" si="48"/>
        <v>190</v>
      </c>
      <c r="Q118" s="233">
        <v>86172190</v>
      </c>
      <c r="R118" s="101" t="s">
        <v>289</v>
      </c>
      <c r="S118" s="101" t="s">
        <v>5</v>
      </c>
      <c r="T118" s="101" t="s">
        <v>287</v>
      </c>
    </row>
    <row r="119" spans="11:20" ht="27" thickBot="1" x14ac:dyDescent="0.3">
      <c r="K119" s="102" t="s">
        <v>216</v>
      </c>
      <c r="L119" s="252"/>
      <c r="M119" s="194" t="s">
        <v>290</v>
      </c>
      <c r="N119" s="250">
        <f t="shared" si="46"/>
        <v>238</v>
      </c>
      <c r="O119" s="250">
        <f t="shared" si="47"/>
        <v>117</v>
      </c>
      <c r="P119" s="250">
        <f t="shared" si="48"/>
        <v>168</v>
      </c>
      <c r="Q119" s="234">
        <v>238117168</v>
      </c>
      <c r="R119" s="102" t="s">
        <v>291</v>
      </c>
      <c r="S119" s="102" t="s">
        <v>5</v>
      </c>
      <c r="T119" s="102" t="s">
        <v>287</v>
      </c>
    </row>
    <row r="120" spans="11:20" ht="27" thickBot="1" x14ac:dyDescent="0.3">
      <c r="K120" s="103" t="s">
        <v>216</v>
      </c>
      <c r="L120" s="252"/>
      <c r="M120" s="195" t="s">
        <v>292</v>
      </c>
      <c r="N120" s="250">
        <f t="shared" si="46"/>
        <v>174</v>
      </c>
      <c r="O120" s="250">
        <f t="shared" si="47"/>
        <v>102</v>
      </c>
      <c r="P120" s="250">
        <f t="shared" si="48"/>
        <v>177</v>
      </c>
      <c r="Q120" s="235">
        <v>174102177</v>
      </c>
      <c r="R120" s="103" t="s">
        <v>293</v>
      </c>
      <c r="S120" s="103" t="s">
        <v>5</v>
      </c>
      <c r="T120" s="103" t="s">
        <v>287</v>
      </c>
    </row>
    <row r="121" spans="11:20" ht="27" thickBot="1" x14ac:dyDescent="0.3">
      <c r="K121" s="104" t="s">
        <v>216</v>
      </c>
      <c r="L121" s="252"/>
      <c r="M121" s="196" t="s">
        <v>294</v>
      </c>
      <c r="N121" s="250">
        <f t="shared" si="46"/>
        <v>234</v>
      </c>
      <c r="O121" s="250">
        <f t="shared" si="47"/>
        <v>175</v>
      </c>
      <c r="P121" s="250">
        <f t="shared" si="48"/>
        <v>111</v>
      </c>
      <c r="Q121" s="236">
        <v>234175111</v>
      </c>
      <c r="R121" s="104" t="s">
        <v>295</v>
      </c>
      <c r="S121" s="104" t="s">
        <v>5</v>
      </c>
      <c r="T121" s="104" t="s">
        <v>287</v>
      </c>
    </row>
    <row r="122" spans="11:20" ht="15.75" thickBot="1" x14ac:dyDescent="0.3">
      <c r="L122" s="252"/>
      <c r="N122" s="250">
        <f>HEX2DEC(LEFT(R122,2))</f>
        <v>0</v>
      </c>
      <c r="O122" s="250">
        <f>HEX2DEC(MID(R122,3,2))</f>
        <v>0</v>
      </c>
      <c r="P122" s="250">
        <f>HEX2DEC(RIGHT(R122,2))</f>
        <v>0</v>
      </c>
    </row>
    <row r="123" spans="11:20" ht="15.75" thickBot="1" x14ac:dyDescent="0.3">
      <c r="L123" s="263">
        <v>400</v>
      </c>
      <c r="M123" s="237" t="s">
        <v>296</v>
      </c>
      <c r="N123" s="250">
        <f t="shared" ref="N123:N133" si="49">HEX2DEC(LEFT(R123,2))</f>
        <v>225</v>
      </c>
      <c r="O123" s="250">
        <f t="shared" ref="O123:O133" si="50">HEX2DEC(MID(R123,3,2))</f>
        <v>238</v>
      </c>
      <c r="P123" s="250">
        <f t="shared" ref="P123:P133" si="51">HEX2DEC(RIGHT(R123,2))</f>
        <v>125</v>
      </c>
      <c r="Q123" s="237" t="s">
        <v>297</v>
      </c>
      <c r="R123" s="237" t="s">
        <v>298</v>
      </c>
      <c r="S123" s="237" t="s">
        <v>5</v>
      </c>
    </row>
    <row r="124" spans="11:20" ht="15.75" thickBot="1" x14ac:dyDescent="0.3">
      <c r="L124" s="263">
        <v>401</v>
      </c>
      <c r="M124" s="238" t="s">
        <v>299</v>
      </c>
      <c r="N124" s="250">
        <f t="shared" si="49"/>
        <v>123</v>
      </c>
      <c r="O124" s="250">
        <f t="shared" si="50"/>
        <v>151</v>
      </c>
      <c r="P124" s="250">
        <f t="shared" si="51"/>
        <v>48</v>
      </c>
      <c r="Q124" s="238" t="s">
        <v>300</v>
      </c>
      <c r="R124" s="238" t="s">
        <v>301</v>
      </c>
      <c r="S124" s="238" t="s">
        <v>5</v>
      </c>
    </row>
    <row r="125" spans="11:20" ht="15.75" thickBot="1" x14ac:dyDescent="0.3">
      <c r="L125" s="263">
        <v>402</v>
      </c>
      <c r="M125" s="239" t="s">
        <v>302</v>
      </c>
      <c r="N125" s="250">
        <f t="shared" si="49"/>
        <v>114</v>
      </c>
      <c r="O125" s="250">
        <f t="shared" si="50"/>
        <v>118</v>
      </c>
      <c r="P125" s="250">
        <f t="shared" si="51"/>
        <v>62</v>
      </c>
      <c r="Q125" s="239" t="s">
        <v>303</v>
      </c>
      <c r="R125" s="240" t="s">
        <v>304</v>
      </c>
      <c r="S125" s="239" t="s">
        <v>5</v>
      </c>
    </row>
    <row r="126" spans="11:20" ht="15.75" thickBot="1" x14ac:dyDescent="0.3">
      <c r="L126" s="263">
        <v>403</v>
      </c>
      <c r="M126" s="241" t="s">
        <v>305</v>
      </c>
      <c r="N126" s="250">
        <f t="shared" si="49"/>
        <v>156</v>
      </c>
      <c r="O126" s="250">
        <f t="shared" si="50"/>
        <v>185</v>
      </c>
      <c r="P126" s="250">
        <f t="shared" si="51"/>
        <v>199</v>
      </c>
      <c r="Q126" s="241" t="s">
        <v>306</v>
      </c>
      <c r="R126" s="241" t="s">
        <v>307</v>
      </c>
      <c r="S126" s="241" t="s">
        <v>5</v>
      </c>
    </row>
    <row r="127" spans="11:20" ht="15.75" thickBot="1" x14ac:dyDescent="0.3">
      <c r="L127" s="263">
        <v>404</v>
      </c>
      <c r="M127" s="242" t="s">
        <v>308</v>
      </c>
      <c r="N127" s="250">
        <f t="shared" si="49"/>
        <v>84</v>
      </c>
      <c r="O127" s="250">
        <f t="shared" si="50"/>
        <v>205</v>
      </c>
      <c r="P127" s="250">
        <f t="shared" si="51"/>
        <v>227</v>
      </c>
      <c r="Q127" s="242" t="s">
        <v>309</v>
      </c>
      <c r="R127" s="242" t="s">
        <v>310</v>
      </c>
      <c r="S127" s="242" t="s">
        <v>5</v>
      </c>
    </row>
    <row r="128" spans="11:20" ht="15.75" thickBot="1" x14ac:dyDescent="0.3">
      <c r="L128" s="263">
        <v>405</v>
      </c>
      <c r="M128" s="243" t="s">
        <v>311</v>
      </c>
      <c r="N128" s="250">
        <f t="shared" si="49"/>
        <v>0</v>
      </c>
      <c r="O128" s="250">
        <f t="shared" si="50"/>
        <v>171</v>
      </c>
      <c r="P128" s="250">
        <f t="shared" si="51"/>
        <v>178</v>
      </c>
      <c r="Q128" s="243" t="s">
        <v>312</v>
      </c>
      <c r="R128" s="243" t="s">
        <v>313</v>
      </c>
      <c r="S128" s="243" t="s">
        <v>5</v>
      </c>
    </row>
    <row r="129" spans="12:19" ht="15.75" thickBot="1" x14ac:dyDescent="0.3">
      <c r="L129" s="263">
        <v>406</v>
      </c>
      <c r="M129" s="244" t="s">
        <v>314</v>
      </c>
      <c r="N129" s="250">
        <f t="shared" si="49"/>
        <v>255</v>
      </c>
      <c r="O129" s="250">
        <f t="shared" si="50"/>
        <v>169</v>
      </c>
      <c r="P129" s="250">
        <f t="shared" si="51"/>
        <v>103</v>
      </c>
      <c r="Q129" s="244" t="s">
        <v>315</v>
      </c>
      <c r="R129" s="244" t="s">
        <v>316</v>
      </c>
      <c r="S129" s="244" t="s">
        <v>5</v>
      </c>
    </row>
    <row r="130" spans="12:19" ht="15.75" thickBot="1" x14ac:dyDescent="0.3">
      <c r="L130" s="263">
        <v>407</v>
      </c>
      <c r="M130" s="245" t="s">
        <v>317</v>
      </c>
      <c r="N130" s="250">
        <f t="shared" si="49"/>
        <v>181</v>
      </c>
      <c r="O130" s="250">
        <f t="shared" si="50"/>
        <v>108</v>
      </c>
      <c r="P130" s="250">
        <f t="shared" si="51"/>
        <v>153</v>
      </c>
      <c r="Q130" s="245" t="s">
        <v>318</v>
      </c>
      <c r="R130" s="245" t="s">
        <v>319</v>
      </c>
      <c r="S130" s="245" t="s">
        <v>5</v>
      </c>
    </row>
    <row r="131" spans="12:19" ht="15.75" thickBot="1" x14ac:dyDescent="0.3">
      <c r="L131" s="263">
        <v>408</v>
      </c>
      <c r="M131" s="246" t="s">
        <v>320</v>
      </c>
      <c r="N131" s="250">
        <f t="shared" si="49"/>
        <v>227</v>
      </c>
      <c r="O131" s="250">
        <f t="shared" si="50"/>
        <v>92</v>
      </c>
      <c r="P131" s="250">
        <f t="shared" si="51"/>
        <v>68</v>
      </c>
      <c r="Q131" s="246" t="s">
        <v>321</v>
      </c>
      <c r="R131" s="246" t="s">
        <v>322</v>
      </c>
      <c r="S131" s="246" t="s">
        <v>5</v>
      </c>
    </row>
    <row r="132" spans="12:19" ht="15.75" thickBot="1" x14ac:dyDescent="0.3">
      <c r="L132" s="263">
        <v>409</v>
      </c>
      <c r="M132" s="247" t="s">
        <v>323</v>
      </c>
      <c r="N132" s="250">
        <f t="shared" si="49"/>
        <v>234</v>
      </c>
      <c r="O132" s="250">
        <f t="shared" si="50"/>
        <v>66</v>
      </c>
      <c r="P132" s="250">
        <f t="shared" si="51"/>
        <v>65</v>
      </c>
      <c r="Q132" s="247" t="s">
        <v>324</v>
      </c>
      <c r="R132" s="247" t="s">
        <v>325</v>
      </c>
      <c r="S132" s="247" t="s">
        <v>5</v>
      </c>
    </row>
    <row r="133" spans="12:19" ht="15.75" thickBot="1" x14ac:dyDescent="0.3">
      <c r="L133" s="263">
        <v>410</v>
      </c>
      <c r="M133" s="248" t="s">
        <v>326</v>
      </c>
      <c r="N133" s="250">
        <f t="shared" si="49"/>
        <v>54</v>
      </c>
      <c r="O133" s="250">
        <f t="shared" si="50"/>
        <v>141</v>
      </c>
      <c r="P133" s="250">
        <f t="shared" si="51"/>
        <v>151</v>
      </c>
      <c r="Q133" s="248" t="s">
        <v>327</v>
      </c>
      <c r="R133" s="248" t="s">
        <v>328</v>
      </c>
      <c r="S133" s="248" t="s">
        <v>5</v>
      </c>
    </row>
  </sheetData>
  <mergeCells count="8">
    <mergeCell ref="A26:A29"/>
    <mergeCell ref="A30:A33"/>
    <mergeCell ref="A2:A5"/>
    <mergeCell ref="A6:A9"/>
    <mergeCell ref="A10:A13"/>
    <mergeCell ref="A14:A17"/>
    <mergeCell ref="A18:A21"/>
    <mergeCell ref="A22:A25"/>
  </mergeCells>
  <conditionalFormatting sqref="U3:U9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3:V9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Dluzen</dc:creator>
  <cp:lastModifiedBy>kevin</cp:lastModifiedBy>
  <dcterms:created xsi:type="dcterms:W3CDTF">2018-11-25T17:56:18Z</dcterms:created>
  <dcterms:modified xsi:type="dcterms:W3CDTF">2019-10-17T04:43:02Z</dcterms:modified>
</cp:coreProperties>
</file>